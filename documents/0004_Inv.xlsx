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"/>
    </mc:Choice>
  </mc:AlternateContent>
  <xr:revisionPtr revIDLastSave="0" documentId="13_ncr:1_{7BD07002-F173-41D8-8587-CE2A855941F4}" xr6:coauthVersionLast="47" xr6:coauthVersionMax="47" xr10:uidLastSave="{00000000-0000-0000-0000-000000000000}"/>
  <bookViews>
    <workbookView xWindow="-120" yWindow="-120" windowWidth="15600" windowHeight="11310" activeTab="1" xr2:uid="{00000000-000D-0000-FFFF-FFFF00000000}"/>
  </bookViews>
  <sheets>
    <sheet name="Summary" sheetId="1" r:id="rId1"/>
    <sheet name="Periodic income post wedding" sheetId="2" r:id="rId2"/>
    <sheet name="Wedding" sheetId="3" r:id="rId3"/>
    <sheet name="Sheet1" sheetId="4" r:id="rId4"/>
    <sheet name="Sheet2" sheetId="5" r:id="rId5"/>
  </sheets>
  <definedNames>
    <definedName name="_xlnm._FilterDatabase" localSheetId="1" hidden="1">'Periodic income post wedding'!$CQ$4:$CS$59</definedName>
    <definedName name="_xlnm._FilterDatabase" localSheetId="0" hidden="1">Summary!$B$5:$K$53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2" l="1"/>
  <c r="G57" i="2"/>
  <c r="G60" i="2" s="1"/>
  <c r="G15" i="2"/>
  <c r="K13" i="2"/>
  <c r="C2" i="2"/>
  <c r="B2" i="2"/>
  <c r="D2" i="2"/>
  <c r="I2" i="2"/>
  <c r="G2" i="2"/>
  <c r="F2" i="2"/>
  <c r="G67" i="2"/>
  <c r="G32" i="2"/>
  <c r="GX59" i="2"/>
  <c r="GU67" i="2"/>
  <c r="GU64" i="2"/>
  <c r="K12" i="2"/>
  <c r="GU59" i="2"/>
  <c r="K11" i="2"/>
  <c r="G39" i="2"/>
  <c r="H2" i="2" s="1"/>
  <c r="A60" i="1"/>
  <c r="D11" i="5"/>
  <c r="K10" i="2"/>
  <c r="GR59" i="2"/>
  <c r="GO59" i="2"/>
  <c r="GL59" i="2"/>
  <c r="GI59" i="2"/>
  <c r="GF59" i="2"/>
  <c r="F52" i="4"/>
  <c r="GC59" i="2"/>
  <c r="FZ59" i="2"/>
  <c r="A59" i="1"/>
  <c r="A86" i="1"/>
  <c r="FW59" i="2"/>
  <c r="FT59" i="2"/>
  <c r="K9" i="2"/>
  <c r="W59" i="2"/>
  <c r="W61" i="2" s="1"/>
  <c r="FQ59" i="2"/>
  <c r="FN59" i="2"/>
  <c r="FK59" i="2"/>
  <c r="FH59" i="2"/>
  <c r="FE59" i="2"/>
  <c r="B76" i="1"/>
  <c r="B77" i="1" s="1"/>
  <c r="FB59" i="2"/>
  <c r="EY59" i="2"/>
  <c r="EV59" i="2"/>
  <c r="ES59" i="2"/>
  <c r="O48" i="4"/>
  <c r="I42" i="4"/>
  <c r="I40" i="4"/>
  <c r="I46" i="4" s="1"/>
  <c r="EG59" i="2"/>
  <c r="EA59" i="2"/>
  <c r="EP59" i="2"/>
  <c r="EJ5" i="2"/>
  <c r="EJ59" i="2" s="1"/>
  <c r="K8" i="2"/>
  <c r="ED59" i="2"/>
  <c r="DX59" i="2"/>
  <c r="DU59" i="2"/>
  <c r="DR59" i="2"/>
  <c r="DO59" i="2"/>
  <c r="K7" i="2"/>
  <c r="DL59" i="2"/>
  <c r="DI59" i="2"/>
  <c r="DF59" i="2"/>
  <c r="DC59" i="2"/>
  <c r="CZ45" i="2"/>
  <c r="CZ59" i="2" s="1"/>
  <c r="CW45" i="2"/>
  <c r="CW59" i="2" s="1"/>
  <c r="CT45" i="2"/>
  <c r="CT59" i="2" s="1"/>
  <c r="CQ45" i="2"/>
  <c r="CQ59" i="2" s="1"/>
  <c r="B51" i="4"/>
  <c r="CN45" i="2"/>
  <c r="CN59" i="2" s="1"/>
  <c r="H17" i="4"/>
  <c r="CK45" i="2"/>
  <c r="CK59" i="2" s="1"/>
  <c r="CH59" i="2"/>
  <c r="CD59" i="2"/>
  <c r="CA59" i="2"/>
  <c r="BX59" i="2"/>
  <c r="BU61" i="2"/>
  <c r="BU59" i="2"/>
  <c r="BR59" i="2"/>
  <c r="BO59" i="2"/>
  <c r="BL59" i="2"/>
  <c r="BI59" i="2"/>
  <c r="BF59" i="2"/>
  <c r="BG114" i="2"/>
  <c r="BH109" i="2"/>
  <c r="BH114" i="2" s="1"/>
  <c r="G60" i="1"/>
  <c r="I58" i="1"/>
  <c r="H76" i="1"/>
  <c r="BC59" i="2"/>
  <c r="AZ59" i="2"/>
  <c r="AV59" i="2"/>
  <c r="AR34" i="2"/>
  <c r="AR59" i="2" s="1"/>
  <c r="AO59" i="2"/>
  <c r="AL59" i="2"/>
  <c r="AH59" i="2"/>
  <c r="AE40" i="2"/>
  <c r="AE59" i="2" s="1"/>
  <c r="AB59" i="2"/>
  <c r="Y59" i="2"/>
  <c r="H62" i="2"/>
  <c r="P22" i="2"/>
  <c r="P23" i="2"/>
  <c r="P21" i="2"/>
  <c r="P5" i="2"/>
  <c r="P35" i="2"/>
  <c r="L6" i="3"/>
  <c r="G11" i="3"/>
  <c r="G18" i="3" s="1"/>
  <c r="K22" i="1"/>
  <c r="BE32" i="1"/>
  <c r="BE29" i="1"/>
  <c r="G79" i="2"/>
  <c r="P51" i="2"/>
  <c r="P47" i="2"/>
  <c r="P45" i="2"/>
  <c r="P42" i="2"/>
  <c r="U42" i="2" s="1"/>
  <c r="U59" i="2" s="1"/>
  <c r="P34" i="2"/>
  <c r="P18" i="2"/>
  <c r="P49" i="2"/>
  <c r="P20" i="2"/>
  <c r="P19" i="2"/>
  <c r="P17" i="2"/>
  <c r="M21" i="1"/>
  <c r="M20" i="1"/>
  <c r="T2" i="1"/>
  <c r="AH15" i="1"/>
  <c r="E2" i="2" l="1"/>
  <c r="D70" i="1"/>
  <c r="G62" i="2" s="1"/>
  <c r="EL59" i="2"/>
  <c r="G61" i="1"/>
  <c r="BU62" i="2"/>
  <c r="I57" i="1"/>
  <c r="P59" i="2"/>
  <c r="R32" i="1"/>
  <c r="R29" i="1"/>
  <c r="G64" i="2" l="1"/>
  <c r="K9" i="1"/>
  <c r="M9" i="1" s="1"/>
  <c r="K8" i="1"/>
  <c r="M8" i="1" s="1"/>
  <c r="K15" i="1" l="1"/>
  <c r="M6" i="1" l="1"/>
  <c r="M53" i="1" s="1"/>
</calcChain>
</file>

<file path=xl/sharedStrings.xml><?xml version="1.0" encoding="utf-8"?>
<sst xmlns="http://schemas.openxmlformats.org/spreadsheetml/2006/main" count="1085" uniqueCount="327">
  <si>
    <t>Name of the Bank / Post Office</t>
  </si>
  <si>
    <t>S.B.I - Narendrapur</t>
  </si>
  <si>
    <t>Investment</t>
  </si>
  <si>
    <t>SCSS (Sr.Citizen Savings Scheme)</t>
  </si>
  <si>
    <t>Amount (Rs.)</t>
  </si>
  <si>
    <t>Interest Accrue</t>
  </si>
  <si>
    <t>Quarterly</t>
  </si>
  <si>
    <t>Interest (Rs.)</t>
  </si>
  <si>
    <t>Monthly int.(Rs.)</t>
  </si>
  <si>
    <t>Account No.</t>
  </si>
  <si>
    <t>Maturity Amount</t>
  </si>
  <si>
    <t>STDR-GEN-PUB-IND- 1000D-INR</t>
  </si>
  <si>
    <t>15,00,000.00</t>
  </si>
  <si>
    <t>Int.Rate</t>
  </si>
  <si>
    <t>Savings Account</t>
  </si>
  <si>
    <t>S.B.I - Kalyani</t>
  </si>
  <si>
    <t>50300425057702</t>
  </si>
  <si>
    <t>FD Account</t>
  </si>
  <si>
    <t>HDFC - Narendrapur</t>
  </si>
  <si>
    <t>50300396813371</t>
  </si>
  <si>
    <t>Monthly</t>
  </si>
  <si>
    <t>50100179121221</t>
  </si>
  <si>
    <t>920040031806249</t>
  </si>
  <si>
    <t>Axis Bank - Kalyani</t>
  </si>
  <si>
    <t>11 May '20</t>
  </si>
  <si>
    <t>12 May '22</t>
  </si>
  <si>
    <t>920040031768000</t>
  </si>
  <si>
    <t>10 May '20</t>
  </si>
  <si>
    <t>17 May '21</t>
  </si>
  <si>
    <t>919040050713821</t>
  </si>
  <si>
    <t>30 Jun '19</t>
  </si>
  <si>
    <t>02 Jul '20</t>
  </si>
  <si>
    <t>Yearly</t>
  </si>
  <si>
    <t>481010100011060</t>
  </si>
  <si>
    <t>Savings Account (Salary A/c)</t>
  </si>
  <si>
    <t>481010100049249</t>
  </si>
  <si>
    <t>Savings Account - 2nd</t>
  </si>
  <si>
    <t>Savings Account - Pension Fund</t>
  </si>
  <si>
    <t>2106010083322</t>
  </si>
  <si>
    <t>Max Life insurance</t>
  </si>
  <si>
    <t>LIC Pension Fund</t>
  </si>
  <si>
    <t>PCBI</t>
  </si>
  <si>
    <t>LIC Pension fund</t>
  </si>
  <si>
    <t>Self</t>
  </si>
  <si>
    <t>MIS</t>
  </si>
  <si>
    <t>P.O - Narendrapur</t>
  </si>
  <si>
    <t>Savings A/C</t>
  </si>
  <si>
    <t>39315929584</t>
  </si>
  <si>
    <t>6 Months</t>
  </si>
  <si>
    <t>39316003461</t>
  </si>
  <si>
    <t>50300426952423</t>
  </si>
  <si>
    <t>9 Months 2 Days</t>
  </si>
  <si>
    <t>920040032399151</t>
  </si>
  <si>
    <t>15 May '07</t>
  </si>
  <si>
    <t>920040032552611</t>
  </si>
  <si>
    <t>15 May '20</t>
  </si>
  <si>
    <t>17 Nov '20</t>
  </si>
  <si>
    <t>1,33,062.50</t>
  </si>
  <si>
    <t>EPF-Pension</t>
  </si>
  <si>
    <t>Period</t>
  </si>
  <si>
    <t>Due on</t>
  </si>
  <si>
    <t>Credited</t>
  </si>
  <si>
    <t>Date Receipt payment.</t>
  </si>
  <si>
    <t>Matured &amp; Credited</t>
  </si>
  <si>
    <t>Payment receipt date</t>
  </si>
  <si>
    <t>DT of Purchase</t>
  </si>
  <si>
    <t>Maturity DT</t>
  </si>
  <si>
    <t>SBI</t>
  </si>
  <si>
    <t>Int. -UBI dt.01.09.20</t>
  </si>
  <si>
    <t>HDFC Interest</t>
  </si>
  <si>
    <t>Axis No2. Interest</t>
  </si>
  <si>
    <t>Qtrly</t>
  </si>
  <si>
    <t>Axis No1. Interest</t>
  </si>
  <si>
    <t>SBI Interest</t>
  </si>
  <si>
    <t>Qtrly-SBI-Narendrapur</t>
  </si>
  <si>
    <t>UBI - Harinavi</t>
  </si>
  <si>
    <t>Amount(Rs.)</t>
  </si>
  <si>
    <t>Matured and transfer to HDFC for onward FD</t>
  </si>
  <si>
    <t>50300474192813</t>
  </si>
  <si>
    <t>FD Account (5 Yrs)</t>
  </si>
  <si>
    <t>FD Account - cleared</t>
  </si>
  <si>
    <t>Summary</t>
  </si>
  <si>
    <t>50300476192665</t>
  </si>
  <si>
    <t>Bank Int</t>
  </si>
  <si>
    <t>PCBI-Co-op-583 + 64 G.Pay</t>
  </si>
  <si>
    <t>SBI-Narendrapur</t>
  </si>
  <si>
    <t>SBI-Kalyani</t>
  </si>
  <si>
    <t>Axis Bank No.1 - Kalyani</t>
  </si>
  <si>
    <t>Axis Bank No.2 - Kalyani</t>
  </si>
  <si>
    <t>Post Office - Narendrapur</t>
  </si>
  <si>
    <t>Saswati Chakraborty</t>
  </si>
  <si>
    <t>SBI - Narendrapur</t>
  </si>
  <si>
    <t>FD - one year - to be matured</t>
  </si>
  <si>
    <t xml:space="preserve">on 05-05-21 </t>
  </si>
  <si>
    <t>on  21-09-21</t>
  </si>
  <si>
    <t>50300497249902</t>
  </si>
  <si>
    <t>61 Days</t>
  </si>
  <si>
    <t>FD Matured for 61 days</t>
  </si>
  <si>
    <t>50300511575389</t>
  </si>
  <si>
    <t>31 Days</t>
  </si>
  <si>
    <t>Mrs. SASWATI CHAKRABORTY</t>
  </si>
  <si>
    <t>Savings Account - SBI-Narendrapur</t>
  </si>
  <si>
    <t>Fixed Deposit</t>
  </si>
  <si>
    <t>13 May '21</t>
  </si>
  <si>
    <t>matured - last payment</t>
  </si>
  <si>
    <t>50300517396301</t>
  </si>
  <si>
    <t>91 Days</t>
  </si>
  <si>
    <t>FD Account (91 days)</t>
  </si>
  <si>
    <t>FD Account (31 days)</t>
  </si>
  <si>
    <t>50300518796302</t>
  </si>
  <si>
    <t>50300519242316</t>
  </si>
  <si>
    <t>Wedding house</t>
  </si>
  <si>
    <t>Rajat flower</t>
  </si>
  <si>
    <t>Electrician</t>
  </si>
  <si>
    <t>Beutician</t>
  </si>
  <si>
    <t>Cameraman</t>
  </si>
  <si>
    <t>Dashakarma</t>
  </si>
  <si>
    <t>Flower</t>
  </si>
  <si>
    <t>Caterer</t>
  </si>
  <si>
    <t>Netai Gold</t>
  </si>
  <si>
    <t>Transport</t>
  </si>
  <si>
    <t>Surajit decoration</t>
  </si>
  <si>
    <t>Total</t>
  </si>
  <si>
    <t>Decorators</t>
  </si>
  <si>
    <t>50300528066978</t>
  </si>
  <si>
    <t>10 Days</t>
  </si>
  <si>
    <t>Paid</t>
  </si>
  <si>
    <t>921040066638913</t>
  </si>
  <si>
    <t>05 Jul '26</t>
  </si>
  <si>
    <t>4 Jul '21</t>
  </si>
  <si>
    <t>04 Jul '21</t>
  </si>
  <si>
    <t>50300541982380</t>
  </si>
  <si>
    <t>50300541983242</t>
  </si>
  <si>
    <t>50300541983673</t>
  </si>
  <si>
    <t>Int @ p.a</t>
  </si>
  <si>
    <t>Savings Total</t>
  </si>
  <si>
    <t>PCBI-SBI</t>
  </si>
  <si>
    <t>Self - SBI - Narendrapur</t>
  </si>
  <si>
    <t>Mnth</t>
  </si>
  <si>
    <t>already credited to above s/b account on 21-09-21</t>
  </si>
  <si>
    <t>Int.</t>
  </si>
  <si>
    <t>Self - Axis Bank</t>
  </si>
  <si>
    <t>it is locked</t>
  </si>
  <si>
    <t>to be checked</t>
  </si>
  <si>
    <t>SBI MF</t>
  </si>
  <si>
    <t>SBI-MF</t>
  </si>
  <si>
    <t>Matured</t>
  </si>
  <si>
    <t>Closed</t>
  </si>
  <si>
    <t>50300621333246</t>
  </si>
  <si>
    <t>50300621332421</t>
  </si>
  <si>
    <t>Qrtly.</t>
  </si>
  <si>
    <t>922040062734515</t>
  </si>
  <si>
    <t>14 May '27</t>
  </si>
  <si>
    <t>922040062735017</t>
  </si>
  <si>
    <t>User/Login</t>
  </si>
  <si>
    <t>pwd</t>
  </si>
  <si>
    <t>Net Banking</t>
  </si>
  <si>
    <t>P.Office (CIF ID)</t>
  </si>
  <si>
    <t>Skc@1959a</t>
  </si>
  <si>
    <t>ATM - P.O</t>
  </si>
  <si>
    <t>Sunilc@59c</t>
  </si>
  <si>
    <t>Axix Bank - Kalyani</t>
  </si>
  <si>
    <t>ATM</t>
  </si>
  <si>
    <t>Dob@1960</t>
  </si>
  <si>
    <t>Sunilc59</t>
  </si>
  <si>
    <t>Sunil!19d</t>
  </si>
  <si>
    <t>UBI-Harinavi</t>
  </si>
  <si>
    <t>U72615861</t>
  </si>
  <si>
    <t>R10125046</t>
  </si>
  <si>
    <t>Net Banking not working</t>
  </si>
  <si>
    <t>No ATM available</t>
  </si>
  <si>
    <t>Interest</t>
  </si>
  <si>
    <t>50300643393930</t>
  </si>
  <si>
    <t>Qtrly.</t>
  </si>
  <si>
    <t>HPG subsidy</t>
  </si>
  <si>
    <t>Conveyance</t>
  </si>
  <si>
    <t>Petrol</t>
  </si>
  <si>
    <t>Driver</t>
  </si>
  <si>
    <t>Lodging</t>
  </si>
  <si>
    <t>Lunch</t>
  </si>
  <si>
    <t>Breakfast</t>
  </si>
  <si>
    <t>Others</t>
  </si>
  <si>
    <t>FD issued for Rs.1 lac 26.01.22</t>
  </si>
  <si>
    <t>28.01.23</t>
  </si>
  <si>
    <t>user name : Saswati62</t>
  </si>
  <si>
    <t>Saswati</t>
  </si>
  <si>
    <t>Axis</t>
  </si>
  <si>
    <t>Transfer</t>
  </si>
  <si>
    <t>Balance</t>
  </si>
  <si>
    <t>HDFC</t>
  </si>
  <si>
    <t>FD Account (4 Yrs)</t>
  </si>
  <si>
    <t>50300672670093</t>
  </si>
  <si>
    <t>tui</t>
  </si>
  <si>
    <t>anubrata</t>
  </si>
  <si>
    <t>puti</t>
  </si>
  <si>
    <t>monoj</t>
  </si>
  <si>
    <t>tihula</t>
  </si>
  <si>
    <t>pallabi</t>
  </si>
  <si>
    <t>subhra</t>
  </si>
  <si>
    <t>baba</t>
  </si>
  <si>
    <t>ma</t>
  </si>
  <si>
    <t>mintu</t>
  </si>
  <si>
    <t>rinku</t>
  </si>
  <si>
    <t>rimi</t>
  </si>
  <si>
    <t>ghantu</t>
  </si>
  <si>
    <t>kajer didi</t>
  </si>
  <si>
    <t>pupu</t>
  </si>
  <si>
    <t>saswati</t>
  </si>
  <si>
    <t>Actual</t>
  </si>
  <si>
    <t>didi</t>
  </si>
  <si>
    <t>sunil</t>
  </si>
  <si>
    <t>Maa durga</t>
  </si>
  <si>
    <t>cash</t>
  </si>
  <si>
    <t>pending</t>
  </si>
  <si>
    <t>Puja Budget-2022</t>
  </si>
  <si>
    <t>Qrtly</t>
  </si>
  <si>
    <t>PNB-Garia</t>
  </si>
  <si>
    <t>1431000100936260</t>
  </si>
  <si>
    <t>PNB - Garia A/c-1431000100936262</t>
  </si>
  <si>
    <t>50300739068931</t>
  </si>
  <si>
    <t>Matured trasfer to sunil sbi 1 lac</t>
  </si>
  <si>
    <t>FD Account (3 Yrs)</t>
  </si>
  <si>
    <t>50300745209041</t>
  </si>
  <si>
    <t>ITD Refund</t>
  </si>
  <si>
    <t>Tax recovery for Customer 71355049 50300745209041</t>
  </si>
  <si>
    <t>3304220230808090 </t>
  </si>
  <si>
    <t>Tax recovery for Customer 71355049 50300739068931</t>
  </si>
  <si>
    <t>Tax recovery for Customer 71355049 50300672670093</t>
  </si>
  <si>
    <t>Tax recovery for Customer 71355049 50300643393930</t>
  </si>
  <si>
    <t>Tax recovery for Customer 71355049 50300621332421</t>
  </si>
  <si>
    <t>Tax recovery for Customer 71355049 50300541983673</t>
  </si>
  <si>
    <t>Tax recovery for Customer 71355049 50300541983242</t>
  </si>
  <si>
    <t>Tax recovery for Customer 71355049 50300541982380</t>
  </si>
  <si>
    <t>Tax recovery for Customer 71355049 50300476192665</t>
  </si>
  <si>
    <t>Tax recovery for Customer 71355049 50300474192813</t>
  </si>
  <si>
    <t>Tax recovery for TD A-c 50300621333246 : Deposit No.1 50300621333246</t>
  </si>
  <si>
    <t>3304220230808851 </t>
  </si>
  <si>
    <r>
      <t>Savings Account No.: </t>
    </r>
    <r>
      <rPr>
        <b/>
        <sz val="11"/>
        <color rgb="FF104887"/>
        <rFont val="Arial"/>
        <family val="2"/>
      </rPr>
      <t>50100179121221 </t>
    </r>
  </si>
  <si>
    <t>TDS</t>
  </si>
  <si>
    <t xml:space="preserve">HDFC - </t>
  </si>
  <si>
    <t>Int. Payout dt</t>
  </si>
  <si>
    <t>Dt.of deduction</t>
  </si>
  <si>
    <t>50300845626882</t>
  </si>
  <si>
    <t>1st-23-11-23</t>
  </si>
  <si>
    <t>1st Qrtly</t>
  </si>
  <si>
    <t>Int</t>
  </si>
  <si>
    <t>Locker Rent</t>
  </si>
  <si>
    <t>31-05--2024</t>
  </si>
  <si>
    <t>1431000100936260   a/c no</t>
  </si>
  <si>
    <t>@2.7% rate of int. Savings</t>
  </si>
  <si>
    <t>UBI - Harinavi - A/c- 2106010083322</t>
  </si>
  <si>
    <t>-1482 (EMI-  mobile)</t>
  </si>
  <si>
    <t>-957 (EMI - TV-02/09)</t>
  </si>
  <si>
    <t>31-08--2024</t>
  </si>
  <si>
    <t>ITR Refund</t>
  </si>
  <si>
    <t>Med Reim</t>
  </si>
  <si>
    <t>CUST ID - R10125046</t>
  </si>
  <si>
    <r>
      <t xml:space="preserve">39002184577 - </t>
    </r>
    <r>
      <rPr>
        <b/>
        <sz val="8"/>
        <color theme="5"/>
        <rFont val="Arial"/>
        <family val="2"/>
      </rPr>
      <t>extension to 3 yrs.</t>
    </r>
  </si>
  <si>
    <t>???</t>
  </si>
  <si>
    <t>020140306641</t>
  </si>
  <si>
    <t>Int. Ob SB</t>
  </si>
  <si>
    <t>'020140306641</t>
  </si>
  <si>
    <t>P.O</t>
  </si>
  <si>
    <t>pwd: 51108071259 to open estatement</t>
  </si>
  <si>
    <t>tran to SCSS</t>
  </si>
  <si>
    <t>Int. on SB</t>
  </si>
  <si>
    <t>pwd : Saswati!62e</t>
  </si>
  <si>
    <t>Tube well</t>
  </si>
  <si>
    <t>Netail</t>
  </si>
  <si>
    <t>Water pipe line extension</t>
  </si>
  <si>
    <t>Electric bill</t>
  </si>
  <si>
    <t>puti r jama</t>
  </si>
  <si>
    <t xml:space="preserve">blue box </t>
  </si>
  <si>
    <t>At Maturity</t>
  </si>
  <si>
    <t>50301163114162</t>
  </si>
  <si>
    <t>FD Account (6mm 2 dd)</t>
  </si>
  <si>
    <t>Policy : 868985912</t>
  </si>
  <si>
    <t>020182498982</t>
  </si>
  <si>
    <t>020182684537</t>
  </si>
  <si>
    <t>020184520704</t>
  </si>
  <si>
    <t>0200009849019</t>
  </si>
  <si>
    <t>NSC</t>
  </si>
  <si>
    <t>FD</t>
  </si>
  <si>
    <t>UBI - Cheque</t>
  </si>
  <si>
    <t>SBI - Transfer</t>
  </si>
  <si>
    <t>hdfc - Transfer</t>
  </si>
  <si>
    <t>Axis - transfer</t>
  </si>
  <si>
    <t>Post Office Bal</t>
  </si>
  <si>
    <t>020213038023</t>
  </si>
  <si>
    <t>Cum Int.Savings</t>
  </si>
  <si>
    <t>NSC matured</t>
  </si>
  <si>
    <t>Savings Int.</t>
  </si>
  <si>
    <t>Inv_Type</t>
  </si>
  <si>
    <t>TD</t>
  </si>
  <si>
    <t>Int Amount</t>
  </si>
  <si>
    <t>Per Year</t>
  </si>
  <si>
    <t>Teneur</t>
  </si>
  <si>
    <t>2 Yrs.</t>
  </si>
  <si>
    <t>020204476723</t>
  </si>
  <si>
    <t>Sayantani Chakraborty</t>
  </si>
  <si>
    <t>020196120685</t>
  </si>
  <si>
    <t>5 Yrs.</t>
  </si>
  <si>
    <t>Per Month</t>
  </si>
  <si>
    <t>020192493272</t>
  </si>
  <si>
    <t>Savings</t>
  </si>
  <si>
    <t>010061524011</t>
  </si>
  <si>
    <t>xxxxxxxx4356</t>
  </si>
  <si>
    <t>Total:</t>
  </si>
  <si>
    <t>S.B.I - Saswati</t>
  </si>
  <si>
    <t>S.B.I - Sunil</t>
  </si>
  <si>
    <t>Match</t>
  </si>
  <si>
    <t>Date</t>
  </si>
  <si>
    <t>Kick-off Time (IST)</t>
  </si>
  <si>
    <t>Venue</t>
  </si>
  <si>
    <t>France vs. Morocco</t>
  </si>
  <si>
    <t>Friday, July 10, 2026</t>
  </si>
  <si>
    <t>Boston Stadium, Foxborough</t>
  </si>
  <si>
    <t>Spain vs. Belgium</t>
  </si>
  <si>
    <t>Saturday, July 11, 2026</t>
  </si>
  <si>
    <t>Los Angeles Stadium, California</t>
  </si>
  <si>
    <t>Norway vs. England</t>
  </si>
  <si>
    <t>Sunday, July 12, 2026</t>
  </si>
  <si>
    <t>Miami Stadium, Florida</t>
  </si>
  <si>
    <t>Argentina vs. Switzerland</t>
  </si>
  <si>
    <t>Kansas City Stadium, Missouri</t>
  </si>
  <si>
    <t>hdfc+axis</t>
  </si>
  <si>
    <t>SCSS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</si>
</sst>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555555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555555"/>
      <name val="Arial"/>
      <family val="2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color theme="9" tint="-0.249977111117893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rgb="FF104887"/>
      <name val="Arial"/>
      <family val="2"/>
    </font>
    <font>
      <sz val="9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104887"/>
      <name val="Arial"/>
      <family val="2"/>
    </font>
    <font>
      <sz val="10"/>
      <color rgb="FF555555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5"/>
      <name val="Arial"/>
      <family val="2"/>
    </font>
    <font>
      <b/>
      <sz val="14"/>
      <color theme="5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8"/>
      <color theme="1"/>
      <name val="Calibri"/>
      <family val="2"/>
      <scheme val="minor"/>
    </font>
    <font>
      <sz val="18"/>
      <color rgb="FF555555"/>
      <name val="Arial"/>
      <family val="2"/>
    </font>
    <font>
      <b/>
      <sz val="12"/>
      <color theme="8" tint="-0.499984740745262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ED2DF"/>
      </right>
      <top/>
      <bottom style="medium">
        <color rgb="FFCED2DF"/>
      </bottom>
      <diagonal/>
    </border>
    <border>
      <left style="medium">
        <color rgb="FFCED2DF"/>
      </left>
      <right style="medium">
        <color rgb="FFCED2DF"/>
      </right>
      <top style="medium">
        <color rgb="FFCED2DF"/>
      </top>
      <bottom style="medium">
        <color rgb="FFCED2DF"/>
      </bottom>
      <diagonal/>
    </border>
    <border>
      <left/>
      <right style="medium">
        <color rgb="FFCED2DF"/>
      </right>
      <top style="medium">
        <color rgb="FFCED2DF"/>
      </top>
      <bottom style="medium">
        <color rgb="FFCED2DF"/>
      </bottom>
      <diagonal/>
    </border>
    <border>
      <left style="medium">
        <color rgb="FFCED2DF"/>
      </left>
      <right style="medium">
        <color rgb="FFCED2DF"/>
      </right>
      <top/>
      <bottom style="medium">
        <color rgb="FFCED2D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6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4" fontId="3" fillId="0" borderId="0" xfId="0" applyNumberFormat="1" applyFont="1"/>
    <xf numFmtId="15" fontId="3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0" fontId="3" fillId="0" borderId="0" xfId="1" applyNumberFormat="1" applyFont="1"/>
    <xf numFmtId="0" fontId="4" fillId="0" borderId="0" xfId="0" quotePrefix="1" applyFont="1" applyAlignment="1">
      <alignment horizontal="left"/>
    </xf>
    <xf numFmtId="0" fontId="6" fillId="0" borderId="0" xfId="0" applyFont="1"/>
    <xf numFmtId="0" fontId="7" fillId="0" borderId="0" xfId="0" applyFont="1"/>
    <xf numFmtId="4" fontId="7" fillId="0" borderId="0" xfId="0" applyNumberFormat="1" applyFont="1" applyAlignment="1">
      <alignment horizontal="right"/>
    </xf>
    <xf numFmtId="0" fontId="5" fillId="0" borderId="0" xfId="0" quotePrefix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0" xfId="0" quotePrefix="1" applyFont="1"/>
    <xf numFmtId="0" fontId="8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4" fontId="0" fillId="2" borderId="0" xfId="0" applyNumberFormat="1" applyFill="1"/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9" fillId="0" borderId="0" xfId="0" applyFont="1"/>
    <xf numFmtId="0" fontId="10" fillId="0" borderId="0" xfId="0" quotePrefix="1" applyFont="1"/>
    <xf numFmtId="4" fontId="8" fillId="0" borderId="0" xfId="0" applyNumberFormat="1" applyFont="1" applyAlignment="1">
      <alignment horizontal="right"/>
    </xf>
    <xf numFmtId="10" fontId="10" fillId="0" borderId="0" xfId="1" applyNumberFormat="1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4" fontId="2" fillId="0" borderId="2" xfId="0" applyNumberFormat="1" applyFont="1" applyBorder="1"/>
    <xf numFmtId="15" fontId="3" fillId="0" borderId="0" xfId="0" applyNumberFormat="1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0" xfId="0" quotePrefix="1" applyFont="1"/>
    <xf numFmtId="4" fontId="7" fillId="6" borderId="1" xfId="0" applyNumberFormat="1" applyFont="1" applyFill="1" applyBorder="1"/>
    <xf numFmtId="4" fontId="0" fillId="0" borderId="0" xfId="0" applyNumberFormat="1" applyAlignment="1">
      <alignment horizontal="left"/>
    </xf>
    <xf numFmtId="15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" fontId="2" fillId="0" borderId="0" xfId="0" applyNumberFormat="1" applyFont="1"/>
    <xf numFmtId="0" fontId="2" fillId="9" borderId="1" xfId="0" applyFont="1" applyFill="1" applyBorder="1"/>
    <xf numFmtId="4" fontId="9" fillId="10" borderId="0" xfId="0" applyNumberFormat="1" applyFont="1" applyFill="1" applyAlignment="1">
      <alignment horizontal="right"/>
    </xf>
    <xf numFmtId="15" fontId="11" fillId="10" borderId="0" xfId="0" applyNumberFormat="1" applyFont="1" applyFill="1" applyAlignment="1">
      <alignment horizontal="center"/>
    </xf>
    <xf numFmtId="0" fontId="8" fillId="0" borderId="0" xfId="0" applyFont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15" fontId="5" fillId="2" borderId="0" xfId="0" applyNumberFormat="1" applyFont="1" applyFill="1" applyAlignment="1">
      <alignment horizontal="center"/>
    </xf>
    <xf numFmtId="43" fontId="0" fillId="0" borderId="0" xfId="2" applyFont="1"/>
    <xf numFmtId="43" fontId="2" fillId="0" borderId="0" xfId="0" applyNumberFormat="1" applyFont="1"/>
    <xf numFmtId="43" fontId="0" fillId="0" borderId="0" xfId="0" applyNumberFormat="1"/>
    <xf numFmtId="4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15" fontId="6" fillId="0" borderId="0" xfId="0" applyNumberFormat="1" applyFont="1" applyAlignment="1">
      <alignment horizontal="center"/>
    </xf>
    <xf numFmtId="4" fontId="12" fillId="0" borderId="0" xfId="0" applyNumberFormat="1" applyFont="1"/>
    <xf numFmtId="10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11" borderId="0" xfId="0" applyFill="1"/>
    <xf numFmtId="0" fontId="8" fillId="0" borderId="0" xfId="0" applyFont="1" applyAlignment="1">
      <alignment horizontal="left"/>
    </xf>
    <xf numFmtId="4" fontId="8" fillId="2" borderId="0" xfId="0" applyNumberFormat="1" applyFont="1" applyFill="1" applyAlignment="1">
      <alignment horizontal="right"/>
    </xf>
    <xf numFmtId="0" fontId="11" fillId="0" borderId="0" xfId="0" quotePrefix="1" applyFont="1" applyAlignment="1">
      <alignment horizontal="left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11" borderId="0" xfId="0" applyNumberFormat="1" applyFill="1"/>
    <xf numFmtId="4" fontId="7" fillId="6" borderId="0" xfId="0" applyNumberFormat="1" applyFont="1" applyFill="1"/>
    <xf numFmtId="14" fontId="0" fillId="9" borderId="0" xfId="0" applyNumberFormat="1" applyFill="1" applyAlignment="1">
      <alignment horizontal="center"/>
    </xf>
    <xf numFmtId="14" fontId="0" fillId="3" borderId="0" xfId="0" applyNumberFormat="1" applyFill="1"/>
    <xf numFmtId="4" fontId="0" fillId="9" borderId="0" xfId="0" applyNumberFormat="1" applyFill="1"/>
    <xf numFmtId="14" fontId="0" fillId="9" borderId="0" xfId="0" applyNumberFormat="1" applyFill="1"/>
    <xf numFmtId="4" fontId="0" fillId="12" borderId="0" xfId="0" applyNumberFormat="1" applyFill="1"/>
    <xf numFmtId="14" fontId="0" fillId="12" borderId="0" xfId="0" applyNumberFormat="1" applyFill="1"/>
    <xf numFmtId="0" fontId="0" fillId="0" borderId="0" xfId="0" quotePrefix="1"/>
    <xf numFmtId="14" fontId="0" fillId="12" borderId="0" xfId="0" applyNumberFormat="1" applyFill="1" applyAlignment="1">
      <alignment horizontal="center"/>
    </xf>
    <xf numFmtId="4" fontId="8" fillId="12" borderId="0" xfId="0" applyNumberFormat="1" applyFont="1" applyFill="1"/>
    <xf numFmtId="14" fontId="8" fillId="12" borderId="0" xfId="0" applyNumberFormat="1" applyFont="1" applyFill="1"/>
    <xf numFmtId="4" fontId="16" fillId="0" borderId="0" xfId="0" applyNumberFormat="1" applyFont="1"/>
    <xf numFmtId="4" fontId="17" fillId="0" borderId="0" xfId="0" applyNumberFormat="1" applyFont="1"/>
    <xf numFmtId="15" fontId="16" fillId="17" borderId="5" xfId="0" applyNumberFormat="1" applyFont="1" applyFill="1" applyBorder="1" applyAlignment="1">
      <alignment vertical="center"/>
    </xf>
    <xf numFmtId="0" fontId="16" fillId="17" borderId="5" xfId="0" applyFont="1" applyFill="1" applyBorder="1" applyAlignment="1">
      <alignment vertical="center" wrapText="1"/>
    </xf>
    <xf numFmtId="0" fontId="16" fillId="17" borderId="5" xfId="0" applyFont="1" applyFill="1" applyBorder="1" applyAlignment="1">
      <alignment horizontal="right" vertical="center"/>
    </xf>
    <xf numFmtId="4" fontId="16" fillId="17" borderId="5" xfId="0" applyNumberFormat="1" applyFont="1" applyFill="1" applyBorder="1" applyAlignment="1">
      <alignment horizontal="right" vertical="center"/>
    </xf>
    <xf numFmtId="15" fontId="16" fillId="17" borderId="6" xfId="0" applyNumberFormat="1" applyFont="1" applyFill="1" applyBorder="1" applyAlignment="1">
      <alignment vertical="center"/>
    </xf>
    <xf numFmtId="0" fontId="16" fillId="17" borderId="7" xfId="0" applyFont="1" applyFill="1" applyBorder="1" applyAlignment="1">
      <alignment vertical="center" wrapText="1"/>
    </xf>
    <xf numFmtId="15" fontId="16" fillId="17" borderId="7" xfId="0" applyNumberFormat="1" applyFont="1" applyFill="1" applyBorder="1" applyAlignment="1">
      <alignment vertical="center"/>
    </xf>
    <xf numFmtId="0" fontId="16" fillId="17" borderId="7" xfId="0" applyFont="1" applyFill="1" applyBorder="1" applyAlignment="1">
      <alignment horizontal="right" vertical="center"/>
    </xf>
    <xf numFmtId="4" fontId="16" fillId="17" borderId="7" xfId="0" applyNumberFormat="1" applyFont="1" applyFill="1" applyBorder="1" applyAlignment="1">
      <alignment horizontal="right" vertical="center"/>
    </xf>
    <xf numFmtId="15" fontId="16" fillId="17" borderId="8" xfId="0" applyNumberFormat="1" applyFont="1" applyFill="1" applyBorder="1" applyAlignment="1">
      <alignment vertical="center"/>
    </xf>
    <xf numFmtId="0" fontId="15" fillId="0" borderId="0" xfId="0" applyFont="1"/>
    <xf numFmtId="4" fontId="0" fillId="10" borderId="0" xfId="0" applyNumberFormat="1" applyFill="1"/>
    <xf numFmtId="14" fontId="0" fillId="4" borderId="1" xfId="0" applyNumberFormat="1" applyFill="1" applyBorder="1"/>
    <xf numFmtId="14" fontId="0" fillId="2" borderId="1" xfId="0" applyNumberFormat="1" applyFill="1" applyBorder="1"/>
    <xf numFmtId="0" fontId="2" fillId="0" borderId="1" xfId="0" applyFont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4" fillId="0" borderId="0" xfId="0" quotePrefix="1" applyFont="1" applyAlignment="1">
      <alignment horizontal="center"/>
    </xf>
    <xf numFmtId="4" fontId="0" fillId="0" borderId="0" xfId="0" quotePrefix="1" applyNumberFormat="1" applyAlignment="1">
      <alignment horizontal="left"/>
    </xf>
    <xf numFmtId="0" fontId="19" fillId="0" borderId="0" xfId="0" applyFont="1"/>
    <xf numFmtId="4" fontId="19" fillId="0" borderId="0" xfId="0" applyNumberFormat="1" applyFont="1"/>
    <xf numFmtId="4" fontId="8" fillId="7" borderId="0" xfId="0" applyNumberFormat="1" applyFont="1" applyFill="1"/>
    <xf numFmtId="14" fontId="8" fillId="0" borderId="0" xfId="0" applyNumberFormat="1" applyFont="1"/>
    <xf numFmtId="14" fontId="0" fillId="2" borderId="0" xfId="0" applyNumberFormat="1" applyFill="1"/>
    <xf numFmtId="4" fontId="0" fillId="0" borderId="0" xfId="0" quotePrefix="1" applyNumberFormat="1" applyAlignment="1">
      <alignment horizontal="right"/>
    </xf>
    <xf numFmtId="14" fontId="0" fillId="2" borderId="0" xfId="0" applyNumberFormat="1" applyFill="1" applyAlignment="1">
      <alignment horizontal="center"/>
    </xf>
    <xf numFmtId="4" fontId="0" fillId="6" borderId="0" xfId="0" applyNumberFormat="1" applyFill="1"/>
    <xf numFmtId="14" fontId="0" fillId="6" borderId="0" xfId="0" applyNumberFormat="1" applyFill="1" applyAlignment="1">
      <alignment horizontal="center"/>
    </xf>
    <xf numFmtId="4" fontId="8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21" borderId="0" xfId="0" applyFill="1"/>
    <xf numFmtId="4" fontId="0" fillId="21" borderId="0" xfId="0" applyNumberFormat="1" applyFill="1"/>
    <xf numFmtId="0" fontId="2" fillId="0" borderId="0" xfId="0" quotePrefix="1" applyFont="1"/>
    <xf numFmtId="4" fontId="8" fillId="9" borderId="0" xfId="0" applyNumberFormat="1" applyFont="1" applyFill="1"/>
    <xf numFmtId="14" fontId="8" fillId="9" borderId="0" xfId="0" applyNumberFormat="1" applyFont="1" applyFill="1" applyAlignment="1">
      <alignment horizontal="center"/>
    </xf>
    <xf numFmtId="4" fontId="18" fillId="0" borderId="0" xfId="0" applyNumberFormat="1" applyFont="1"/>
    <xf numFmtId="4" fontId="8" fillId="2" borderId="0" xfId="0" applyNumberFormat="1" applyFont="1" applyFill="1"/>
    <xf numFmtId="14" fontId="8" fillId="12" borderId="0" xfId="0" applyNumberFormat="1" applyFont="1" applyFill="1" applyAlignment="1">
      <alignment horizontal="center"/>
    </xf>
    <xf numFmtId="0" fontId="2" fillId="0" borderId="0" xfId="0" quotePrefix="1" applyFont="1" applyAlignment="1">
      <alignment horizontal="left"/>
    </xf>
    <xf numFmtId="4" fontId="14" fillId="0" borderId="0" xfId="0" applyNumberFormat="1" applyFont="1"/>
    <xf numFmtId="4" fontId="22" fillId="0" borderId="0" xfId="0" applyNumberFormat="1" applyFont="1" applyAlignment="1">
      <alignment horizontal="right"/>
    </xf>
    <xf numFmtId="0" fontId="23" fillId="0" borderId="0" xfId="0" applyFont="1"/>
    <xf numFmtId="0" fontId="12" fillId="0" borderId="0" xfId="0" applyFont="1"/>
    <xf numFmtId="0" fontId="0" fillId="0" borderId="0" xfId="0" quotePrefix="1" applyAlignment="1">
      <alignment horizontal="left"/>
    </xf>
    <xf numFmtId="0" fontId="9" fillId="0" borderId="0" xfId="0" quotePrefix="1" applyFont="1" applyAlignment="1">
      <alignment horizontal="left"/>
    </xf>
    <xf numFmtId="0" fontId="8" fillId="8" borderId="0" xfId="0" applyFont="1" applyFill="1"/>
    <xf numFmtId="0" fontId="8" fillId="0" borderId="0" xfId="0" quotePrefix="1" applyFont="1"/>
    <xf numFmtId="4" fontId="25" fillId="0" borderId="0" xfId="0" applyNumberFormat="1" applyFont="1" applyAlignment="1">
      <alignment horizontal="right"/>
    </xf>
    <xf numFmtId="15" fontId="11" fillId="0" borderId="0" xfId="0" applyNumberFormat="1" applyFont="1" applyAlignment="1">
      <alignment horizontal="center"/>
    </xf>
    <xf numFmtId="4" fontId="9" fillId="0" borderId="0" xfId="0" applyNumberFormat="1" applyFont="1"/>
    <xf numFmtId="10" fontId="0" fillId="0" borderId="0" xfId="1" applyNumberFormat="1" applyFont="1" applyAlignment="1">
      <alignment horizontal="center"/>
    </xf>
    <xf numFmtId="15" fontId="19" fillId="0" borderId="0" xfId="0" applyNumberFormat="1" applyFont="1" applyAlignment="1">
      <alignment horizontal="center"/>
    </xf>
    <xf numFmtId="0" fontId="27" fillId="0" borderId="9" xfId="0" applyFont="1" applyBorder="1" applyAlignment="1">
      <alignment horizontal="left" vertical="center" wrapText="1" indent="1" readingOrder="1"/>
    </xf>
    <xf numFmtId="0" fontId="26" fillId="0" borderId="9" xfId="0" applyFont="1" applyBorder="1" applyAlignment="1">
      <alignment horizontal="left" vertical="center" wrapText="1" indent="1" readingOrder="1"/>
    </xf>
    <xf numFmtId="18" fontId="26" fillId="0" borderId="9" xfId="0" applyNumberFormat="1" applyFont="1" applyBorder="1" applyAlignment="1">
      <alignment horizontal="left" vertical="center" wrapText="1" indent="1" readingOrder="1"/>
    </xf>
    <xf numFmtId="2" fontId="0" fillId="0" borderId="0" xfId="0" applyNumberForma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29" fillId="0" borderId="0" xfId="0" quotePrefix="1" applyFont="1" applyAlignment="1">
      <alignment horizontal="left"/>
    </xf>
    <xf numFmtId="4" fontId="30" fillId="0" borderId="0" xfId="0" applyNumberFormat="1" applyFont="1" applyAlignment="1">
      <alignment horizontal="right"/>
    </xf>
    <xf numFmtId="0" fontId="28" fillId="0" borderId="0" xfId="0" applyFont="1" applyAlignment="1">
      <alignment horizontal="left" vertical="top"/>
    </xf>
    <xf numFmtId="15" fontId="31" fillId="0" borderId="0" xfId="0" applyNumberFormat="1" applyFont="1" applyAlignment="1">
      <alignment horizontal="left" vertical="top"/>
    </xf>
    <xf numFmtId="15" fontId="31" fillId="0" borderId="0" xfId="0" applyNumberFormat="1" applyFont="1" applyAlignment="1">
      <alignment horizontal="left"/>
    </xf>
    <xf numFmtId="4" fontId="32" fillId="0" borderId="0" xfId="0" applyNumberFormat="1" applyFont="1" applyAlignment="1">
      <alignment horizontal="right"/>
    </xf>
    <xf numFmtId="17" fontId="2" fillId="0" borderId="1" xfId="0" applyNumberFormat="1" applyFont="1" applyBorder="1" applyAlignment="1">
      <alignment horizontal="center"/>
    </xf>
    <xf numFmtId="17" fontId="2" fillId="4" borderId="3" xfId="0" applyNumberFormat="1" applyFont="1" applyFill="1" applyBorder="1" applyAlignment="1">
      <alignment horizontal="center"/>
    </xf>
    <xf numFmtId="17" fontId="2" fillId="4" borderId="4" xfId="0" applyNumberFormat="1" applyFont="1" applyFill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17" fontId="2" fillId="6" borderId="3" xfId="0" applyNumberFormat="1" applyFont="1" applyFill="1" applyBorder="1" applyAlignment="1">
      <alignment horizontal="center"/>
    </xf>
    <xf numFmtId="17" fontId="2" fillId="6" borderId="4" xfId="0" applyNumberFormat="1" applyFont="1" applyFill="1" applyBorder="1" applyAlignment="1">
      <alignment horizontal="center"/>
    </xf>
    <xf numFmtId="17" fontId="20" fillId="13" borderId="3" xfId="0" applyNumberFormat="1" applyFont="1" applyFill="1" applyBorder="1" applyAlignment="1">
      <alignment horizontal="center"/>
    </xf>
    <xf numFmtId="17" fontId="20" fillId="13" borderId="4" xfId="0" applyNumberFormat="1" applyFont="1" applyFill="1" applyBorder="1" applyAlignment="1">
      <alignment horizontal="center"/>
    </xf>
    <xf numFmtId="17" fontId="2" fillId="9" borderId="3" xfId="0" applyNumberFormat="1" applyFont="1" applyFill="1" applyBorder="1" applyAlignment="1">
      <alignment horizontal="center"/>
    </xf>
    <xf numFmtId="17" fontId="2" fillId="9" borderId="4" xfId="0" applyNumberFormat="1" applyFont="1" applyFill="1" applyBorder="1" applyAlignment="1">
      <alignment horizontal="center"/>
    </xf>
    <xf numFmtId="17" fontId="2" fillId="14" borderId="3" xfId="0" applyNumberFormat="1" applyFont="1" applyFill="1" applyBorder="1" applyAlignment="1">
      <alignment horizontal="center"/>
    </xf>
    <xf numFmtId="17" fontId="2" fillId="14" borderId="4" xfId="0" applyNumberFormat="1" applyFont="1" applyFill="1" applyBorder="1" applyAlignment="1">
      <alignment horizontal="center"/>
    </xf>
    <xf numFmtId="17" fontId="2" fillId="20" borderId="3" xfId="0" applyNumberFormat="1" applyFont="1" applyFill="1" applyBorder="1" applyAlignment="1">
      <alignment horizontal="center"/>
    </xf>
    <xf numFmtId="17" fontId="2" fillId="20" borderId="4" xfId="0" applyNumberFormat="1" applyFont="1" applyFill="1" applyBorder="1" applyAlignment="1">
      <alignment horizontal="center"/>
    </xf>
    <xf numFmtId="17" fontId="20" fillId="22" borderId="3" xfId="0" applyNumberFormat="1" applyFont="1" applyFill="1" applyBorder="1" applyAlignment="1">
      <alignment horizontal="center"/>
    </xf>
    <xf numFmtId="17" fontId="20" fillId="22" borderId="4" xfId="0" applyNumberFormat="1" applyFont="1" applyFill="1" applyBorder="1" applyAlignment="1">
      <alignment horizontal="center"/>
    </xf>
    <xf numFmtId="17" fontId="20" fillId="6" borderId="3" xfId="0" applyNumberFormat="1" applyFont="1" applyFill="1" applyBorder="1" applyAlignment="1">
      <alignment horizontal="center"/>
    </xf>
    <xf numFmtId="17" fontId="20" fillId="6" borderId="4" xfId="0" applyNumberFormat="1" applyFont="1" applyFill="1" applyBorder="1" applyAlignment="1">
      <alignment horizontal="center"/>
    </xf>
    <xf numFmtId="17" fontId="20" fillId="4" borderId="3" xfId="0" applyNumberFormat="1" applyFont="1" applyFill="1" applyBorder="1" applyAlignment="1">
      <alignment horizontal="center"/>
    </xf>
    <xf numFmtId="17" fontId="20" fillId="4" borderId="4" xfId="0" applyNumberFormat="1" applyFont="1" applyFill="1" applyBorder="1" applyAlignment="1">
      <alignment horizontal="center"/>
    </xf>
    <xf numFmtId="17" fontId="20" fillId="9" borderId="3" xfId="0" applyNumberFormat="1" applyFont="1" applyFill="1" applyBorder="1" applyAlignment="1">
      <alignment horizontal="center"/>
    </xf>
    <xf numFmtId="17" fontId="20" fillId="9" borderId="4" xfId="0" applyNumberFormat="1" applyFont="1" applyFill="1" applyBorder="1" applyAlignment="1">
      <alignment horizontal="center"/>
    </xf>
    <xf numFmtId="17" fontId="2" fillId="15" borderId="3" xfId="0" applyNumberFormat="1" applyFont="1" applyFill="1" applyBorder="1" applyAlignment="1">
      <alignment horizontal="center"/>
    </xf>
    <xf numFmtId="17" fontId="2" fillId="15" borderId="4" xfId="0" applyNumberFormat="1" applyFont="1" applyFill="1" applyBorder="1" applyAlignment="1">
      <alignment horizontal="center"/>
    </xf>
    <xf numFmtId="17" fontId="2" fillId="13" borderId="3" xfId="0" applyNumberFormat="1" applyFont="1" applyFill="1" applyBorder="1" applyAlignment="1">
      <alignment horizontal="center"/>
    </xf>
    <xf numFmtId="17" fontId="2" fillId="13" borderId="4" xfId="0" applyNumberFormat="1" applyFont="1" applyFill="1" applyBorder="1" applyAlignment="1">
      <alignment horizontal="center"/>
    </xf>
    <xf numFmtId="17" fontId="2" fillId="11" borderId="3" xfId="0" applyNumberFormat="1" applyFont="1" applyFill="1" applyBorder="1" applyAlignment="1">
      <alignment horizontal="center"/>
    </xf>
    <xf numFmtId="17" fontId="2" fillId="11" borderId="4" xfId="0" applyNumberFormat="1" applyFont="1" applyFill="1" applyBorder="1" applyAlignment="1">
      <alignment horizontal="center"/>
    </xf>
    <xf numFmtId="17" fontId="2" fillId="19" borderId="3" xfId="0" applyNumberFormat="1" applyFont="1" applyFill="1" applyBorder="1" applyAlignment="1">
      <alignment horizontal="center"/>
    </xf>
    <xf numFmtId="17" fontId="2" fillId="19" borderId="4" xfId="0" applyNumberFormat="1" applyFont="1" applyFill="1" applyBorder="1" applyAlignment="1">
      <alignment horizontal="center"/>
    </xf>
    <xf numFmtId="17" fontId="2" fillId="16" borderId="3" xfId="0" applyNumberFormat="1" applyFont="1" applyFill="1" applyBorder="1" applyAlignment="1">
      <alignment horizontal="center"/>
    </xf>
    <xf numFmtId="17" fontId="2" fillId="16" borderId="4" xfId="0" applyNumberFormat="1" applyFont="1" applyFill="1" applyBorder="1" applyAlignment="1">
      <alignment horizontal="center"/>
    </xf>
    <xf numFmtId="17" fontId="2" fillId="18" borderId="3" xfId="0" applyNumberFormat="1" applyFont="1" applyFill="1" applyBorder="1" applyAlignment="1">
      <alignment horizontal="center"/>
    </xf>
    <xf numFmtId="17" fontId="2" fillId="18" borderId="4" xfId="0" applyNumberFormat="1" applyFont="1" applyFill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17" fontId="20" fillId="14" borderId="3" xfId="0" applyNumberFormat="1" applyFont="1" applyFill="1" applyBorder="1" applyAlignment="1">
      <alignment horizontal="center"/>
    </xf>
    <xf numFmtId="17" fontId="20" fillId="14" borderId="4" xfId="0" applyNumberFormat="1" applyFont="1" applyFill="1" applyBorder="1" applyAlignment="1">
      <alignment horizontal="center"/>
    </xf>
    <xf numFmtId="17" fontId="20" fillId="5" borderId="3" xfId="0" applyNumberFormat="1" applyFont="1" applyFill="1" applyBorder="1" applyAlignment="1">
      <alignment horizontal="center"/>
    </xf>
    <xf numFmtId="17" fontId="20" fillId="5" borderId="4" xfId="0" applyNumberFormat="1" applyFont="1" applyFill="1" applyBorder="1" applyAlignment="1">
      <alignment horizontal="center"/>
    </xf>
    <xf numFmtId="17" fontId="20" fillId="20" borderId="3" xfId="0" applyNumberFormat="1" applyFont="1" applyFill="1" applyBorder="1" applyAlignment="1">
      <alignment horizontal="center"/>
    </xf>
    <xf numFmtId="17" fontId="20" fillId="20" borderId="4" xfId="0" applyNumberFormat="1" applyFont="1" applyFill="1" applyBorder="1" applyAlignment="1">
      <alignment horizontal="center"/>
    </xf>
    <xf numFmtId="17" fontId="20" fillId="23" borderId="3" xfId="0" applyNumberFormat="1" applyFont="1" applyFill="1" applyBorder="1" applyAlignment="1">
      <alignment horizontal="center"/>
    </xf>
    <xf numFmtId="17" fontId="20" fillId="23" borderId="4" xfId="0" applyNumberFormat="1" applyFont="1" applyFill="1" applyBorder="1" applyAlignment="1">
      <alignment horizontal="center"/>
    </xf>
    <xf numFmtId="17" fontId="20" fillId="18" borderId="3" xfId="0" applyNumberFormat="1" applyFont="1" applyFill="1" applyBorder="1" applyAlignment="1">
      <alignment horizontal="center"/>
    </xf>
    <xf numFmtId="17" fontId="20" fillId="18" borderId="4" xfId="0" applyNumberFormat="1" applyFont="1" applyFill="1" applyBorder="1" applyAlignment="1">
      <alignment horizontal="center"/>
    </xf>
    <xf numFmtId="17" fontId="20" fillId="19" borderId="3" xfId="0" applyNumberFormat="1" applyFont="1" applyFill="1" applyBorder="1" applyAlignment="1">
      <alignment horizontal="center"/>
    </xf>
    <xf numFmtId="17" fontId="20" fillId="19" borderId="4" xfId="0" applyNumberFormat="1" applyFont="1" applyFill="1" applyBorder="1" applyAlignment="1">
      <alignment horizontal="center"/>
    </xf>
    <xf numFmtId="17" fontId="20" fillId="15" borderId="3" xfId="0" applyNumberFormat="1" applyFont="1" applyFill="1" applyBorder="1" applyAlignment="1">
      <alignment horizontal="center"/>
    </xf>
    <xf numFmtId="17" fontId="20" fillId="15" borderId="4" xfId="0" applyNumberFormat="1" applyFont="1" applyFill="1" applyBorder="1" applyAlignment="1">
      <alignment horizontal="center"/>
    </xf>
    <xf numFmtId="14" fontId="24" fillId="13" borderId="1" xfId="0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100"/>
  <sheetViews>
    <sheetView zoomScale="98" zoomScaleNormal="98" workbookViewId="0">
      <pane xSplit="2" ySplit="5" topLeftCell="C60" activePane="bottomRight" state="frozen"/>
      <selection pane="topRight" activeCell="C1" sqref="C1"/>
      <selection pane="bottomLeft" activeCell="A6" sqref="A6"/>
      <selection pane="bottomRight" activeCell="D70" sqref="D70"/>
    </sheetView>
  </sheetViews>
  <sheetFormatPr defaultRowHeight="15" x14ac:dyDescent="0.25"/>
  <cols>
    <col min="1" max="1" width="19.7109375" customWidth="1"/>
    <col min="2" max="2" width="33.28515625" customWidth="1"/>
    <col min="3" max="3" width="32.85546875" customWidth="1"/>
    <col min="4" max="4" width="21" style="10" customWidth="1"/>
    <col min="5" max="5" width="14.28515625" style="2" customWidth="1"/>
    <col min="6" max="6" width="16.7109375" style="6" customWidth="1"/>
    <col min="7" max="7" width="11" style="6" bestFit="1" customWidth="1"/>
    <col min="8" max="8" width="12.28515625" bestFit="1" customWidth="1"/>
    <col min="9" max="9" width="15.28515625" style="2" customWidth="1"/>
    <col min="10" max="10" width="14.5703125" customWidth="1"/>
    <col min="11" max="11" width="18.85546875" customWidth="1"/>
    <col min="12" max="12" width="5.140625" customWidth="1"/>
    <col min="13" max="13" width="15.28515625" style="6" customWidth="1"/>
    <col min="14" max="15" width="10.5703125" style="6" customWidth="1"/>
    <col min="16" max="18" width="9.140625" customWidth="1"/>
    <col min="19" max="19" width="14.42578125" customWidth="1"/>
    <col min="20" max="20" width="13.28515625" customWidth="1"/>
    <col min="21" max="21" width="20.28515625" style="6" customWidth="1"/>
    <col min="22" max="22" width="36.42578125" customWidth="1"/>
    <col min="23" max="23" width="9.140625" customWidth="1"/>
    <col min="24" max="24" width="20.28515625" style="6" customWidth="1"/>
    <col min="25" max="26" width="9.140625" customWidth="1"/>
    <col min="27" max="27" width="20.28515625" customWidth="1"/>
    <col min="28" max="28" width="9.140625" customWidth="1"/>
    <col min="29" max="29" width="11.7109375" customWidth="1"/>
    <col min="30" max="30" width="20.28515625" customWidth="1"/>
    <col min="31" max="31" width="17.5703125" customWidth="1"/>
    <col min="32" max="32" width="5.85546875" customWidth="1"/>
    <col min="33" max="33" width="9.140625" customWidth="1"/>
    <col min="34" max="35" width="20.28515625" customWidth="1"/>
    <col min="36" max="36" width="9.140625" hidden="1" customWidth="1"/>
    <col min="37" max="37" width="9.140625" customWidth="1"/>
    <col min="38" max="38" width="12.140625" bestFit="1" customWidth="1"/>
    <col min="39" max="39" width="20.28515625" bestFit="1" customWidth="1"/>
    <col min="40" max="40" width="9.140625" customWidth="1"/>
    <col min="41" max="41" width="12.140625" bestFit="1" customWidth="1"/>
    <col min="42" max="42" width="20.28515625" bestFit="1" customWidth="1"/>
    <col min="43" max="46" width="9.140625" customWidth="1"/>
    <col min="47" max="47" width="12.140625" bestFit="1" customWidth="1"/>
    <col min="48" max="48" width="20.28515625" bestFit="1" customWidth="1"/>
    <col min="49" max="51" width="9.140625" customWidth="1"/>
    <col min="52" max="52" width="10.42578125" bestFit="1" customWidth="1"/>
    <col min="53" max="54" width="9.140625" customWidth="1"/>
    <col min="55" max="55" width="10.7109375" bestFit="1" customWidth="1"/>
    <col min="56" max="56" width="10.42578125" bestFit="1" customWidth="1"/>
    <col min="60" max="60" width="10.7109375" customWidth="1"/>
    <col min="61" max="61" width="12.140625" customWidth="1"/>
    <col min="64" max="64" width="10.42578125" bestFit="1" customWidth="1"/>
    <col min="68" max="68" width="10.42578125" bestFit="1" customWidth="1"/>
  </cols>
  <sheetData>
    <row r="1" spans="1:70" x14ac:dyDescent="0.25">
      <c r="A1" s="1"/>
    </row>
    <row r="2" spans="1:70" x14ac:dyDescent="0.25">
      <c r="A2" s="135"/>
      <c r="B2" s="1"/>
      <c r="C2" s="1"/>
      <c r="D2" s="48"/>
      <c r="G2" s="31"/>
      <c r="H2" s="1"/>
      <c r="T2">
        <f>S2*3</f>
        <v>0</v>
      </c>
    </row>
    <row r="3" spans="1:70" x14ac:dyDescent="0.25">
      <c r="A3" s="1"/>
      <c r="B3" s="1"/>
      <c r="C3" s="1"/>
      <c r="G3" s="31"/>
      <c r="X3" s="44">
        <v>44044</v>
      </c>
      <c r="AA3" s="44">
        <v>44075</v>
      </c>
      <c r="AD3" s="44">
        <v>44105</v>
      </c>
      <c r="AH3" s="164">
        <v>44136</v>
      </c>
      <c r="AI3" s="164"/>
      <c r="AL3" s="164">
        <v>44166</v>
      </c>
      <c r="AM3" s="164"/>
      <c r="AO3" s="164">
        <v>44197</v>
      </c>
      <c r="AP3" s="164"/>
      <c r="AU3" s="164">
        <v>44228</v>
      </c>
      <c r="AV3" s="164"/>
      <c r="AY3" s="164">
        <v>44256</v>
      </c>
      <c r="AZ3" s="164"/>
      <c r="BC3" s="164">
        <v>44287</v>
      </c>
      <c r="BD3" s="164"/>
      <c r="BH3" s="164">
        <v>44317</v>
      </c>
      <c r="BI3" s="164"/>
      <c r="BK3" s="164">
        <v>44348</v>
      </c>
      <c r="BL3" s="164"/>
      <c r="BO3" s="164">
        <v>44409</v>
      </c>
      <c r="BP3" s="164"/>
    </row>
    <row r="4" spans="1:70" x14ac:dyDescent="0.25">
      <c r="A4" s="1"/>
    </row>
    <row r="5" spans="1:70" s="4" customFormat="1" x14ac:dyDescent="0.25">
      <c r="B5" s="4" t="s">
        <v>0</v>
      </c>
      <c r="C5" s="4" t="s">
        <v>2</v>
      </c>
      <c r="D5" s="9" t="s">
        <v>9</v>
      </c>
      <c r="E5" s="5" t="s">
        <v>4</v>
      </c>
      <c r="F5" s="28" t="s">
        <v>65</v>
      </c>
      <c r="G5" s="28" t="s">
        <v>66</v>
      </c>
      <c r="H5" s="4" t="s">
        <v>13</v>
      </c>
      <c r="I5" s="5" t="s">
        <v>10</v>
      </c>
      <c r="J5" s="4" t="s">
        <v>5</v>
      </c>
      <c r="K5" s="5" t="s">
        <v>7</v>
      </c>
      <c r="M5" s="28" t="s">
        <v>8</v>
      </c>
      <c r="N5" s="28" t="s">
        <v>60</v>
      </c>
      <c r="O5" s="28"/>
      <c r="U5" s="28" t="s">
        <v>62</v>
      </c>
      <c r="X5" s="28" t="s">
        <v>64</v>
      </c>
      <c r="AA5" s="28" t="s">
        <v>64</v>
      </c>
      <c r="AD5" s="28" t="s">
        <v>64</v>
      </c>
      <c r="AH5" s="45" t="s">
        <v>76</v>
      </c>
      <c r="AI5" s="45" t="s">
        <v>64</v>
      </c>
      <c r="AL5" s="45" t="s">
        <v>76</v>
      </c>
      <c r="AM5" s="45" t="s">
        <v>64</v>
      </c>
      <c r="AO5" s="45" t="s">
        <v>76</v>
      </c>
      <c r="AP5" s="45" t="s">
        <v>64</v>
      </c>
      <c r="AU5" s="45" t="s">
        <v>76</v>
      </c>
      <c r="AV5" s="45" t="s">
        <v>64</v>
      </c>
    </row>
    <row r="6" spans="1:70" x14ac:dyDescent="0.25">
      <c r="B6" s="17" t="s">
        <v>1</v>
      </c>
      <c r="C6" s="4" t="s">
        <v>3</v>
      </c>
      <c r="D6" s="12">
        <v>39002184577</v>
      </c>
      <c r="E6" s="3">
        <v>1500000</v>
      </c>
      <c r="F6" s="40">
        <v>43815</v>
      </c>
      <c r="G6" s="65">
        <v>45642</v>
      </c>
      <c r="H6" s="11">
        <v>8.5999999999999993E-2</v>
      </c>
      <c r="I6" s="3" t="s">
        <v>12</v>
      </c>
      <c r="J6" s="6" t="s">
        <v>6</v>
      </c>
      <c r="K6" s="1">
        <v>32250</v>
      </c>
      <c r="L6" s="1"/>
      <c r="M6" s="31">
        <f>K6/3</f>
        <v>10750</v>
      </c>
      <c r="N6" s="30">
        <v>44012</v>
      </c>
      <c r="O6" s="30"/>
      <c r="T6" s="29">
        <v>32250</v>
      </c>
      <c r="U6" s="30">
        <v>44013</v>
      </c>
      <c r="AC6" s="29">
        <v>32250</v>
      </c>
      <c r="AD6" s="30">
        <v>44104</v>
      </c>
      <c r="AE6" t="s">
        <v>71</v>
      </c>
      <c r="AO6" s="29">
        <v>32250</v>
      </c>
      <c r="AP6" s="30">
        <v>44195</v>
      </c>
      <c r="AQ6" t="s">
        <v>71</v>
      </c>
      <c r="AV6" s="30"/>
      <c r="AY6" s="29">
        <v>32250</v>
      </c>
      <c r="AZ6" s="30">
        <v>44286</v>
      </c>
      <c r="BA6" t="s">
        <v>71</v>
      </c>
      <c r="BK6" s="29">
        <v>29025</v>
      </c>
      <c r="BL6" s="30">
        <v>44377</v>
      </c>
      <c r="BM6" t="s">
        <v>71</v>
      </c>
      <c r="BN6" s="1"/>
      <c r="BR6" s="1"/>
    </row>
    <row r="7" spans="1:70" x14ac:dyDescent="0.25">
      <c r="B7" s="17" t="s">
        <v>1</v>
      </c>
      <c r="C7" s="13" t="s">
        <v>11</v>
      </c>
      <c r="D7" s="12">
        <v>31098702620</v>
      </c>
      <c r="E7" s="3">
        <v>6464</v>
      </c>
      <c r="F7" s="40">
        <v>40255</v>
      </c>
      <c r="G7" s="65">
        <v>45734</v>
      </c>
      <c r="H7" s="11">
        <v>5.8999999999999997E-2</v>
      </c>
      <c r="I7" s="3">
        <v>8663</v>
      </c>
      <c r="K7" s="1"/>
      <c r="L7" s="1"/>
      <c r="M7" s="31"/>
    </row>
    <row r="8" spans="1:70" x14ac:dyDescent="0.25">
      <c r="B8" s="17" t="s">
        <v>1</v>
      </c>
      <c r="C8" s="4" t="s">
        <v>80</v>
      </c>
      <c r="D8" s="46" t="s">
        <v>47</v>
      </c>
      <c r="E8" s="35">
        <v>1000000</v>
      </c>
      <c r="F8" s="49">
        <v>43963</v>
      </c>
      <c r="G8" s="49">
        <v>44147</v>
      </c>
      <c r="H8" s="11">
        <v>5.2999999999999999E-2</v>
      </c>
      <c r="I8" s="3">
        <v>1026676</v>
      </c>
      <c r="J8" s="6" t="s">
        <v>48</v>
      </c>
      <c r="K8" s="1">
        <f>I8-E8</f>
        <v>26676</v>
      </c>
      <c r="L8" s="1"/>
      <c r="M8" s="31">
        <f>K8/6</f>
        <v>4446</v>
      </c>
      <c r="N8" s="30">
        <v>44147</v>
      </c>
      <c r="O8" s="30"/>
      <c r="AH8" s="29">
        <v>1026676</v>
      </c>
      <c r="AI8" s="27">
        <v>44147</v>
      </c>
      <c r="AJ8" t="s">
        <v>77</v>
      </c>
    </row>
    <row r="9" spans="1:70" x14ac:dyDescent="0.25">
      <c r="B9" s="17" t="s">
        <v>1</v>
      </c>
      <c r="C9" s="4" t="s">
        <v>17</v>
      </c>
      <c r="D9" s="46" t="s">
        <v>49</v>
      </c>
      <c r="E9" s="35">
        <v>200000</v>
      </c>
      <c r="F9" s="49">
        <v>43963</v>
      </c>
      <c r="G9" s="49">
        <v>44147</v>
      </c>
      <c r="H9" s="11">
        <v>5.2999999999999999E-2</v>
      </c>
      <c r="I9" s="3">
        <v>205335</v>
      </c>
      <c r="J9" s="6" t="s">
        <v>48</v>
      </c>
      <c r="K9" s="1">
        <f>I9-E9</f>
        <v>5335</v>
      </c>
      <c r="L9" s="1"/>
      <c r="M9" s="31">
        <f>K9/6</f>
        <v>889.16666666666663</v>
      </c>
      <c r="N9" s="30">
        <v>44147</v>
      </c>
      <c r="O9" s="30"/>
      <c r="AH9" s="29">
        <v>205335</v>
      </c>
      <c r="AI9" s="27">
        <v>44147</v>
      </c>
      <c r="AJ9" t="s">
        <v>77</v>
      </c>
    </row>
    <row r="10" spans="1:70" x14ac:dyDescent="0.25">
      <c r="A10" s="7"/>
      <c r="B10" s="17" t="s">
        <v>1</v>
      </c>
      <c r="C10" s="14" t="s">
        <v>14</v>
      </c>
      <c r="D10" s="12">
        <v>31098398450</v>
      </c>
      <c r="E10" s="15">
        <v>61392.97</v>
      </c>
      <c r="H10" s="11">
        <v>0.03</v>
      </c>
      <c r="K10" s="1"/>
      <c r="L10" s="1"/>
      <c r="M10" s="31"/>
    </row>
    <row r="11" spans="1:70" x14ac:dyDescent="0.25">
      <c r="A11" s="7"/>
      <c r="B11" s="18" t="s">
        <v>15</v>
      </c>
      <c r="C11" s="14" t="s">
        <v>14</v>
      </c>
      <c r="D11" s="12">
        <v>11151231955</v>
      </c>
      <c r="E11" s="15">
        <v>487.91</v>
      </c>
      <c r="H11" s="11">
        <v>0.03</v>
      </c>
    </row>
    <row r="12" spans="1:70" x14ac:dyDescent="0.25">
      <c r="A12" s="7"/>
      <c r="B12" s="18"/>
      <c r="C12" s="14"/>
      <c r="D12" s="12"/>
      <c r="E12" s="15"/>
      <c r="H12" s="11"/>
      <c r="AC12" s="29">
        <v>695</v>
      </c>
      <c r="AD12" s="30">
        <v>44099</v>
      </c>
      <c r="AE12" t="s">
        <v>73</v>
      </c>
      <c r="AO12" s="29">
        <v>647</v>
      </c>
      <c r="AP12" s="30">
        <v>44212</v>
      </c>
      <c r="AQ12" t="s">
        <v>84</v>
      </c>
    </row>
    <row r="13" spans="1:70" x14ac:dyDescent="0.25">
      <c r="A13" s="7"/>
      <c r="B13" s="18"/>
      <c r="C13" s="14"/>
      <c r="D13" s="12"/>
      <c r="E13" s="15"/>
      <c r="H13" s="11"/>
    </row>
    <row r="14" spans="1:70" x14ac:dyDescent="0.25">
      <c r="A14" s="7"/>
      <c r="C14" s="14"/>
      <c r="D14" s="12"/>
      <c r="E14" s="3"/>
      <c r="H14" s="11"/>
    </row>
    <row r="15" spans="1:70" x14ac:dyDescent="0.25">
      <c r="A15" s="8"/>
      <c r="B15" s="19" t="s">
        <v>18</v>
      </c>
      <c r="C15" s="4" t="s">
        <v>17</v>
      </c>
      <c r="D15" s="12" t="s">
        <v>16</v>
      </c>
      <c r="E15" s="3">
        <v>1000000</v>
      </c>
      <c r="F15" s="41">
        <v>43958</v>
      </c>
      <c r="G15" s="64">
        <v>44689</v>
      </c>
      <c r="H15" s="11">
        <v>6.5000000000000002E-2</v>
      </c>
      <c r="I15" s="3">
        <v>1000000</v>
      </c>
      <c r="J15" s="6" t="s">
        <v>6</v>
      </c>
      <c r="K15" s="1">
        <f>5416*3</f>
        <v>16248</v>
      </c>
      <c r="M15" s="31">
        <v>5416</v>
      </c>
      <c r="N15" s="30">
        <v>44052</v>
      </c>
      <c r="O15" s="30"/>
      <c r="W15" s="29">
        <v>16339</v>
      </c>
      <c r="X15" s="30">
        <v>44050</v>
      </c>
      <c r="Y15" s="1"/>
      <c r="AH15" s="29">
        <f>5416*3</f>
        <v>16248</v>
      </c>
      <c r="AI15" s="30">
        <v>44142</v>
      </c>
      <c r="AJ15" t="s">
        <v>71</v>
      </c>
      <c r="AU15" s="29">
        <v>16357</v>
      </c>
      <c r="AV15" s="30">
        <v>44234</v>
      </c>
      <c r="AW15" t="s">
        <v>71</v>
      </c>
      <c r="BB15" s="1"/>
      <c r="BH15" s="29">
        <v>15849</v>
      </c>
      <c r="BI15" s="30">
        <v>44323</v>
      </c>
      <c r="BJ15" t="s">
        <v>71</v>
      </c>
    </row>
    <row r="16" spans="1:70" x14ac:dyDescent="0.25">
      <c r="A16" s="8"/>
      <c r="B16" s="19" t="s">
        <v>18</v>
      </c>
      <c r="C16" s="4" t="s">
        <v>17</v>
      </c>
      <c r="D16" s="12" t="s">
        <v>19</v>
      </c>
      <c r="E16" s="3">
        <v>400000</v>
      </c>
      <c r="F16" s="41">
        <v>43846</v>
      </c>
      <c r="G16" s="64">
        <v>44942</v>
      </c>
      <c r="H16" s="11">
        <v>6.8599999999999994E-2</v>
      </c>
      <c r="I16" s="3">
        <v>400000</v>
      </c>
      <c r="J16" s="6" t="s">
        <v>20</v>
      </c>
      <c r="M16" s="31">
        <v>2325</v>
      </c>
      <c r="N16" s="30">
        <v>43998</v>
      </c>
      <c r="O16" s="30"/>
      <c r="P16" s="29" t="s">
        <v>61</v>
      </c>
      <c r="T16" s="29">
        <v>2249</v>
      </c>
      <c r="U16" s="30">
        <v>44028</v>
      </c>
      <c r="W16" s="29">
        <v>2324</v>
      </c>
      <c r="X16" s="30">
        <v>44059</v>
      </c>
      <c r="Z16" s="29">
        <v>2324</v>
      </c>
      <c r="AA16" s="30">
        <v>44090</v>
      </c>
      <c r="AC16" s="29">
        <v>2249</v>
      </c>
      <c r="AD16" s="30">
        <v>44120</v>
      </c>
      <c r="AH16" s="29">
        <v>2324</v>
      </c>
      <c r="AI16" s="30">
        <v>44151</v>
      </c>
      <c r="AL16" s="29">
        <v>2249</v>
      </c>
      <c r="AM16" s="30">
        <v>44181</v>
      </c>
      <c r="AO16" s="29">
        <v>2327</v>
      </c>
      <c r="AP16" s="30">
        <v>44212</v>
      </c>
      <c r="AU16" s="29">
        <v>2331</v>
      </c>
      <c r="AV16" s="30">
        <v>44243</v>
      </c>
      <c r="BH16" s="29">
        <v>2255</v>
      </c>
      <c r="BI16" s="30">
        <v>44332</v>
      </c>
      <c r="BK16" s="29">
        <v>2331</v>
      </c>
      <c r="BL16" s="30">
        <v>44363</v>
      </c>
    </row>
    <row r="17" spans="2:69" x14ac:dyDescent="0.25">
      <c r="B17" s="19" t="s">
        <v>18</v>
      </c>
      <c r="C17" s="4" t="s">
        <v>17</v>
      </c>
      <c r="D17" s="25" t="s">
        <v>50</v>
      </c>
      <c r="E17" s="53">
        <v>500000</v>
      </c>
      <c r="F17" s="41">
        <v>43965</v>
      </c>
      <c r="G17" s="54">
        <v>44243</v>
      </c>
      <c r="H17" s="11">
        <v>0.06</v>
      </c>
      <c r="I17" s="53">
        <v>523148</v>
      </c>
      <c r="J17" s="26" t="s">
        <v>51</v>
      </c>
      <c r="K17" s="55" t="s">
        <v>63</v>
      </c>
      <c r="M17" s="31">
        <v>2572</v>
      </c>
      <c r="N17" s="30">
        <v>44243</v>
      </c>
      <c r="O17" s="30"/>
      <c r="AU17" s="29">
        <v>523148</v>
      </c>
      <c r="AV17" s="30">
        <v>44243</v>
      </c>
    </row>
    <row r="18" spans="2:69" x14ac:dyDescent="0.25">
      <c r="B18" s="19" t="s">
        <v>18</v>
      </c>
      <c r="C18" s="4" t="s">
        <v>17</v>
      </c>
      <c r="D18" s="25" t="s">
        <v>95</v>
      </c>
      <c r="E18" s="53">
        <v>500000</v>
      </c>
      <c r="F18" s="41">
        <v>44244</v>
      </c>
      <c r="G18" s="54">
        <v>44305</v>
      </c>
      <c r="H18" s="11">
        <v>3.5000000000000003E-2</v>
      </c>
      <c r="I18" s="53">
        <v>502925</v>
      </c>
      <c r="J18" s="37" t="s">
        <v>96</v>
      </c>
      <c r="K18" s="55" t="s">
        <v>63</v>
      </c>
      <c r="M18" s="31"/>
      <c r="N18" s="30"/>
      <c r="O18" s="30"/>
      <c r="AU18" s="29"/>
      <c r="AV18" s="30"/>
      <c r="BC18" s="3">
        <v>502925</v>
      </c>
      <c r="BD18" s="27">
        <v>44305</v>
      </c>
      <c r="BE18" t="s">
        <v>97</v>
      </c>
    </row>
    <row r="19" spans="2:69" x14ac:dyDescent="0.25">
      <c r="B19" s="19" t="s">
        <v>18</v>
      </c>
      <c r="C19" s="4" t="s">
        <v>17</v>
      </c>
      <c r="D19" s="25" t="s">
        <v>98</v>
      </c>
      <c r="E19" s="53">
        <v>400000</v>
      </c>
      <c r="F19" s="41">
        <v>44305</v>
      </c>
      <c r="G19" s="54">
        <v>44336</v>
      </c>
      <c r="H19" s="11">
        <v>3.5000000000000003E-2</v>
      </c>
      <c r="I19" s="53">
        <v>401189</v>
      </c>
      <c r="J19" s="37" t="s">
        <v>99</v>
      </c>
      <c r="K19" s="55" t="s">
        <v>63</v>
      </c>
      <c r="M19" s="31"/>
      <c r="N19" s="30"/>
      <c r="O19" s="30"/>
      <c r="AU19" s="29"/>
      <c r="AV19" s="30"/>
      <c r="BC19" s="3"/>
      <c r="BD19" s="27"/>
    </row>
    <row r="20" spans="2:69" x14ac:dyDescent="0.25">
      <c r="B20" s="19" t="s">
        <v>18</v>
      </c>
      <c r="C20" s="4" t="s">
        <v>79</v>
      </c>
      <c r="D20" s="25" t="s">
        <v>78</v>
      </c>
      <c r="E20" s="3">
        <v>1000000</v>
      </c>
      <c r="F20" s="41">
        <v>44147</v>
      </c>
      <c r="G20" s="64">
        <v>45974</v>
      </c>
      <c r="H20" s="11">
        <v>6.25E-2</v>
      </c>
      <c r="I20" s="3">
        <v>1000000</v>
      </c>
      <c r="J20" s="6" t="s">
        <v>6</v>
      </c>
      <c r="K20" s="1">
        <v>15625</v>
      </c>
      <c r="M20" s="31">
        <f>K20/3</f>
        <v>5208.333333333333</v>
      </c>
      <c r="N20" s="30">
        <v>44239</v>
      </c>
      <c r="O20" s="30"/>
      <c r="AU20" s="29">
        <v>15730</v>
      </c>
      <c r="AV20" s="30">
        <v>44239</v>
      </c>
      <c r="AW20" t="s">
        <v>71</v>
      </c>
      <c r="AY20" s="1"/>
      <c r="BH20" s="29">
        <v>15240</v>
      </c>
      <c r="BI20" s="30">
        <v>44328</v>
      </c>
      <c r="BJ20" t="s">
        <v>71</v>
      </c>
    </row>
    <row r="21" spans="2:69" x14ac:dyDescent="0.25">
      <c r="B21" s="19" t="s">
        <v>18</v>
      </c>
      <c r="C21" s="4" t="s">
        <v>79</v>
      </c>
      <c r="D21" s="25" t="s">
        <v>82</v>
      </c>
      <c r="E21" s="3">
        <v>300000</v>
      </c>
      <c r="F21" s="41">
        <v>44157</v>
      </c>
      <c r="G21" s="64">
        <v>45985</v>
      </c>
      <c r="H21" s="11">
        <v>6.25E-2</v>
      </c>
      <c r="I21" s="3">
        <v>300000</v>
      </c>
      <c r="J21" s="6" t="s">
        <v>6</v>
      </c>
      <c r="K21" s="1">
        <v>1078</v>
      </c>
      <c r="M21" s="31">
        <f>K21/3</f>
        <v>359.33333333333331</v>
      </c>
      <c r="N21" s="30">
        <v>44249</v>
      </c>
      <c r="O21" s="30"/>
      <c r="AO21" s="29">
        <v>402</v>
      </c>
      <c r="AP21" s="30">
        <v>44196</v>
      </c>
      <c r="AQ21" t="s">
        <v>83</v>
      </c>
      <c r="AU21" s="29">
        <v>4720</v>
      </c>
      <c r="AV21" s="30">
        <v>44249</v>
      </c>
      <c r="AW21" t="s">
        <v>71</v>
      </c>
      <c r="BH21" s="29">
        <v>4572</v>
      </c>
      <c r="BI21" s="30">
        <v>44338</v>
      </c>
      <c r="BJ21" t="s">
        <v>71</v>
      </c>
      <c r="BO21" s="29">
        <v>4572</v>
      </c>
      <c r="BP21" s="30">
        <v>44430</v>
      </c>
      <c r="BQ21" t="s">
        <v>71</v>
      </c>
    </row>
    <row r="22" spans="2:69" x14ac:dyDescent="0.25">
      <c r="B22" s="19" t="s">
        <v>18</v>
      </c>
      <c r="C22" s="4" t="s">
        <v>107</v>
      </c>
      <c r="D22" s="25" t="s">
        <v>105</v>
      </c>
      <c r="E22" s="3">
        <v>500000</v>
      </c>
      <c r="F22" s="41">
        <v>44329</v>
      </c>
      <c r="G22" s="58">
        <v>44420</v>
      </c>
      <c r="H22" s="11">
        <v>0.04</v>
      </c>
      <c r="I22" s="3">
        <v>504986</v>
      </c>
      <c r="J22" s="6" t="s">
        <v>106</v>
      </c>
      <c r="K22" s="1">
        <f>I22-E22</f>
        <v>4986</v>
      </c>
      <c r="M22" s="31"/>
      <c r="N22" s="30"/>
      <c r="O22" s="30"/>
      <c r="AO22" s="29"/>
      <c r="AP22" s="30"/>
      <c r="AU22" s="29"/>
      <c r="AV22" s="30"/>
    </row>
    <row r="23" spans="2:69" x14ac:dyDescent="0.25">
      <c r="B23" s="19" t="s">
        <v>18</v>
      </c>
      <c r="C23" s="4" t="s">
        <v>108</v>
      </c>
      <c r="D23" s="25" t="s">
        <v>109</v>
      </c>
      <c r="E23" s="53">
        <v>300000</v>
      </c>
      <c r="F23" s="41">
        <v>44335</v>
      </c>
      <c r="G23" s="54">
        <v>44366</v>
      </c>
      <c r="H23" s="11">
        <v>3.5000000000000003E-2</v>
      </c>
      <c r="I23" s="53">
        <v>300892</v>
      </c>
      <c r="J23" s="37" t="s">
        <v>99</v>
      </c>
      <c r="K23" s="55" t="s">
        <v>63</v>
      </c>
      <c r="M23" s="31"/>
      <c r="N23" s="30"/>
      <c r="O23" s="30"/>
      <c r="AO23" s="29"/>
      <c r="AP23" s="30"/>
      <c r="AU23" s="29"/>
      <c r="AV23" s="30"/>
    </row>
    <row r="24" spans="2:69" x14ac:dyDescent="0.25">
      <c r="B24" s="19" t="s">
        <v>18</v>
      </c>
      <c r="C24" s="4" t="s">
        <v>108</v>
      </c>
      <c r="D24" s="25" t="s">
        <v>110</v>
      </c>
      <c r="E24" s="53">
        <v>400000</v>
      </c>
      <c r="F24" s="41">
        <v>44337</v>
      </c>
      <c r="G24" s="54">
        <v>44368</v>
      </c>
      <c r="H24" s="11">
        <v>3.5000000000000003E-2</v>
      </c>
      <c r="I24" s="53">
        <v>401189</v>
      </c>
      <c r="J24" s="37" t="s">
        <v>99</v>
      </c>
      <c r="K24" s="55" t="s">
        <v>63</v>
      </c>
      <c r="M24" s="31"/>
      <c r="N24" s="53"/>
      <c r="O24" s="53"/>
      <c r="AO24" s="29"/>
      <c r="AP24" s="30"/>
      <c r="AU24" s="29"/>
      <c r="AV24" s="30"/>
    </row>
    <row r="25" spans="2:69" x14ac:dyDescent="0.25">
      <c r="B25" s="19" t="s">
        <v>18</v>
      </c>
      <c r="C25" s="4" t="s">
        <v>108</v>
      </c>
      <c r="D25" s="25" t="s">
        <v>124</v>
      </c>
      <c r="E25" s="53">
        <v>500000</v>
      </c>
      <c r="F25" s="41">
        <v>44368</v>
      </c>
      <c r="G25" s="54">
        <v>44378</v>
      </c>
      <c r="H25" s="11">
        <v>0.03</v>
      </c>
      <c r="I25" s="3">
        <v>500411</v>
      </c>
      <c r="J25" s="6" t="s">
        <v>125</v>
      </c>
      <c r="K25" s="55" t="s">
        <v>63</v>
      </c>
      <c r="M25" s="31"/>
      <c r="N25" s="30"/>
      <c r="O25" s="30"/>
      <c r="AO25" s="29"/>
      <c r="AP25" s="30"/>
      <c r="AU25" s="29"/>
      <c r="AV25" s="30"/>
    </row>
    <row r="26" spans="2:69" x14ac:dyDescent="0.25">
      <c r="B26" s="19" t="s">
        <v>18</v>
      </c>
      <c r="C26" s="14" t="s">
        <v>14</v>
      </c>
      <c r="D26" s="12" t="s">
        <v>21</v>
      </c>
      <c r="E26" s="15">
        <v>11949</v>
      </c>
      <c r="H26" s="11">
        <v>3.5000000000000003E-2</v>
      </c>
    </row>
    <row r="27" spans="2:69" x14ac:dyDescent="0.25">
      <c r="B27" s="19"/>
      <c r="C27" s="14"/>
      <c r="D27" s="12"/>
      <c r="E27" s="15"/>
      <c r="H27" s="11"/>
      <c r="AC27" s="29">
        <v>225</v>
      </c>
      <c r="AD27" s="30">
        <v>44105</v>
      </c>
      <c r="AE27" t="s">
        <v>69</v>
      </c>
    </row>
    <row r="28" spans="2:69" x14ac:dyDescent="0.25">
      <c r="E28" s="3"/>
      <c r="H28" s="11"/>
    </row>
    <row r="29" spans="2:69" x14ac:dyDescent="0.25">
      <c r="B29" s="20" t="s">
        <v>23</v>
      </c>
      <c r="C29" s="4" t="s">
        <v>17</v>
      </c>
      <c r="D29" s="25" t="s">
        <v>22</v>
      </c>
      <c r="E29" s="62">
        <v>1000000</v>
      </c>
      <c r="F29" s="42" t="s">
        <v>24</v>
      </c>
      <c r="G29" s="63" t="s">
        <v>25</v>
      </c>
      <c r="H29" s="11">
        <v>6.7500000000000004E-2</v>
      </c>
      <c r="I29" s="3">
        <v>1000000</v>
      </c>
      <c r="J29" s="6" t="s">
        <v>20</v>
      </c>
      <c r="M29" s="31">
        <v>5593</v>
      </c>
      <c r="N29" s="30">
        <v>43993</v>
      </c>
      <c r="O29" s="31">
        <v>5173</v>
      </c>
      <c r="P29" s="29" t="s">
        <v>61</v>
      </c>
      <c r="R29" s="1">
        <f>M29-O29</f>
        <v>420</v>
      </c>
      <c r="S29" s="1"/>
      <c r="T29" s="29">
        <v>5593</v>
      </c>
      <c r="U29" s="30">
        <v>44022</v>
      </c>
      <c r="W29" s="29">
        <v>5593</v>
      </c>
      <c r="X29" s="30">
        <v>44054</v>
      </c>
      <c r="Z29" s="29">
        <v>5593</v>
      </c>
      <c r="AA29" s="30">
        <v>44088</v>
      </c>
      <c r="AL29" s="29">
        <v>5593</v>
      </c>
      <c r="AM29" s="30">
        <v>44176</v>
      </c>
      <c r="AO29" s="29">
        <v>5593</v>
      </c>
      <c r="AP29" s="30">
        <v>44207</v>
      </c>
      <c r="AU29" s="29">
        <v>5593</v>
      </c>
      <c r="AV29" s="30">
        <v>44238</v>
      </c>
      <c r="AY29" s="29">
        <v>5593</v>
      </c>
      <c r="AZ29" s="30">
        <v>44266</v>
      </c>
      <c r="BC29" s="29">
        <v>5033</v>
      </c>
      <c r="BD29" s="30">
        <v>44295</v>
      </c>
      <c r="BE29" s="1">
        <f>AY29-BC29</f>
        <v>560</v>
      </c>
      <c r="BH29" s="29">
        <v>5593</v>
      </c>
      <c r="BI29" s="30">
        <v>44327</v>
      </c>
      <c r="BK29" s="29">
        <v>5593</v>
      </c>
      <c r="BL29" s="30">
        <v>44358</v>
      </c>
      <c r="BO29" s="29">
        <v>5593</v>
      </c>
      <c r="BP29" s="30">
        <v>44419</v>
      </c>
    </row>
    <row r="30" spans="2:69" x14ac:dyDescent="0.25">
      <c r="B30" s="20" t="s">
        <v>23</v>
      </c>
      <c r="C30" s="33" t="s">
        <v>17</v>
      </c>
      <c r="D30" s="34" t="s">
        <v>26</v>
      </c>
      <c r="E30" s="35">
        <v>300000</v>
      </c>
      <c r="F30" s="50" t="s">
        <v>27</v>
      </c>
      <c r="G30" s="50" t="s">
        <v>28</v>
      </c>
      <c r="H30" s="11">
        <v>6.6500000000000004E-2</v>
      </c>
      <c r="I30" s="3">
        <v>300000</v>
      </c>
      <c r="J30" s="6" t="s">
        <v>6</v>
      </c>
      <c r="K30" s="1">
        <v>4988</v>
      </c>
      <c r="M30" s="31">
        <v>1662</v>
      </c>
      <c r="N30" s="30">
        <v>44054</v>
      </c>
      <c r="O30" s="30"/>
      <c r="T30" s="29">
        <v>2789</v>
      </c>
      <c r="U30" s="30">
        <v>44012</v>
      </c>
      <c r="AC30" s="29">
        <v>4988</v>
      </c>
      <c r="AD30" s="30">
        <v>44104</v>
      </c>
      <c r="AE30" t="s">
        <v>71</v>
      </c>
      <c r="AO30" s="29">
        <v>4988</v>
      </c>
      <c r="AP30" s="30">
        <v>44196</v>
      </c>
      <c r="AQ30" t="s">
        <v>71</v>
      </c>
      <c r="AY30" s="29">
        <v>4988</v>
      </c>
      <c r="AZ30" s="30">
        <v>44286</v>
      </c>
      <c r="BA30" t="s">
        <v>71</v>
      </c>
      <c r="BC30" s="29">
        <v>2582</v>
      </c>
      <c r="BD30" s="30">
        <v>33375</v>
      </c>
      <c r="BE30" t="s">
        <v>104</v>
      </c>
    </row>
    <row r="31" spans="2:69" x14ac:dyDescent="0.25">
      <c r="B31" s="20" t="s">
        <v>23</v>
      </c>
      <c r="C31" s="33" t="s">
        <v>17</v>
      </c>
      <c r="D31" s="34" t="s">
        <v>29</v>
      </c>
      <c r="E31" s="35">
        <v>100000</v>
      </c>
      <c r="F31" s="50" t="s">
        <v>30</v>
      </c>
      <c r="G31" s="50" t="s">
        <v>31</v>
      </c>
      <c r="H31" s="36">
        <v>7.0999999999999994E-2</v>
      </c>
      <c r="I31" s="35">
        <v>107333</v>
      </c>
      <c r="J31" s="37" t="s">
        <v>32</v>
      </c>
      <c r="K31" s="55" t="s">
        <v>63</v>
      </c>
      <c r="L31" s="26"/>
      <c r="M31" s="37"/>
      <c r="N31" s="38">
        <v>44014</v>
      </c>
      <c r="O31" s="30"/>
    </row>
    <row r="32" spans="2:69" x14ac:dyDescent="0.25">
      <c r="B32" s="20" t="s">
        <v>23</v>
      </c>
      <c r="C32" s="33" t="s">
        <v>17</v>
      </c>
      <c r="D32" s="34" t="s">
        <v>52</v>
      </c>
      <c r="E32" s="35">
        <v>500000</v>
      </c>
      <c r="F32" s="50">
        <v>43965</v>
      </c>
      <c r="G32" s="50" t="s">
        <v>103</v>
      </c>
      <c r="H32" s="11">
        <v>6.25E-2</v>
      </c>
      <c r="I32" s="3">
        <v>500000</v>
      </c>
      <c r="J32" s="6" t="s">
        <v>20</v>
      </c>
      <c r="M32" s="31">
        <v>2591</v>
      </c>
      <c r="N32" s="30">
        <v>43994</v>
      </c>
      <c r="O32" s="31">
        <v>2397</v>
      </c>
      <c r="P32" s="29" t="s">
        <v>61</v>
      </c>
      <c r="R32" s="1">
        <f>M32-O32</f>
        <v>194</v>
      </c>
      <c r="S32" s="1"/>
      <c r="T32" s="29">
        <v>2591</v>
      </c>
      <c r="U32" s="30">
        <v>44026</v>
      </c>
      <c r="W32" s="29">
        <v>2591</v>
      </c>
      <c r="X32" s="30">
        <v>44057</v>
      </c>
      <c r="Z32" s="29">
        <v>2591</v>
      </c>
      <c r="AA32" s="30">
        <v>44088</v>
      </c>
      <c r="AC32" s="29">
        <v>2591</v>
      </c>
      <c r="AD32" s="30">
        <v>44118</v>
      </c>
      <c r="AL32" s="29">
        <v>2591</v>
      </c>
      <c r="AM32" s="30">
        <v>44179</v>
      </c>
      <c r="AO32" s="29">
        <v>2591</v>
      </c>
      <c r="AP32" s="30">
        <v>44210</v>
      </c>
      <c r="AU32" s="29">
        <v>2591</v>
      </c>
      <c r="AV32" s="30">
        <v>44239</v>
      </c>
      <c r="AY32" s="29">
        <v>2591</v>
      </c>
      <c r="AZ32" s="27">
        <v>44267</v>
      </c>
      <c r="BC32" s="29">
        <v>2332</v>
      </c>
      <c r="BD32" s="27">
        <v>44302</v>
      </c>
      <c r="BE32" s="1">
        <f>AY32-BC32</f>
        <v>259</v>
      </c>
      <c r="BH32" s="29">
        <v>2214</v>
      </c>
      <c r="BI32" s="27">
        <v>44332</v>
      </c>
      <c r="BK32" s="1"/>
      <c r="BL32" s="1"/>
    </row>
    <row r="33" spans="2:68" x14ac:dyDescent="0.25">
      <c r="B33" s="20" t="s">
        <v>23</v>
      </c>
      <c r="C33" s="4" t="s">
        <v>17</v>
      </c>
      <c r="D33" s="34" t="s">
        <v>54</v>
      </c>
      <c r="E33" s="35">
        <v>300000</v>
      </c>
      <c r="F33" s="50" t="s">
        <v>55</v>
      </c>
      <c r="G33" s="50" t="s">
        <v>56</v>
      </c>
      <c r="H33" s="11">
        <v>5.6000000000000001E-2</v>
      </c>
      <c r="I33" s="3">
        <v>300000</v>
      </c>
      <c r="J33" s="6" t="s">
        <v>20</v>
      </c>
      <c r="M33" s="31">
        <v>1393</v>
      </c>
      <c r="N33" s="30">
        <v>43998</v>
      </c>
      <c r="O33" s="30"/>
      <c r="T33" s="29">
        <v>1393</v>
      </c>
      <c r="U33" s="30">
        <v>44027</v>
      </c>
      <c r="W33" s="29">
        <v>1393</v>
      </c>
      <c r="X33" s="30">
        <v>44057</v>
      </c>
      <c r="Z33" s="29">
        <v>1393</v>
      </c>
      <c r="AA33" s="30">
        <v>44089</v>
      </c>
      <c r="AC33" s="29">
        <v>1393</v>
      </c>
      <c r="AD33" s="30">
        <v>44119</v>
      </c>
    </row>
    <row r="34" spans="2:68" x14ac:dyDescent="0.25">
      <c r="B34" s="20" t="s">
        <v>23</v>
      </c>
      <c r="C34" s="4" t="s">
        <v>17</v>
      </c>
      <c r="D34" s="25" t="s">
        <v>127</v>
      </c>
      <c r="E34" s="62">
        <v>500000</v>
      </c>
      <c r="F34" s="42" t="s">
        <v>129</v>
      </c>
      <c r="G34" s="63" t="s">
        <v>128</v>
      </c>
      <c r="H34" s="11">
        <v>6.5000000000000002E-2</v>
      </c>
      <c r="I34" s="3">
        <v>500000</v>
      </c>
      <c r="J34" s="6" t="s">
        <v>20</v>
      </c>
      <c r="M34" s="31">
        <v>2694</v>
      </c>
      <c r="N34" s="30">
        <v>44412</v>
      </c>
      <c r="O34" s="30"/>
      <c r="T34" s="29"/>
      <c r="U34" s="30"/>
      <c r="W34" s="29"/>
      <c r="X34" s="30"/>
      <c r="Z34" s="29"/>
      <c r="AA34" s="30"/>
      <c r="AC34" s="29"/>
      <c r="AD34" s="30"/>
      <c r="BO34" s="29">
        <v>2694</v>
      </c>
      <c r="BP34" s="30">
        <v>44412</v>
      </c>
    </row>
    <row r="35" spans="2:68" x14ac:dyDescent="0.25">
      <c r="B35" s="20" t="s">
        <v>23</v>
      </c>
      <c r="C35" s="14" t="s">
        <v>34</v>
      </c>
      <c r="D35" s="16" t="s">
        <v>33</v>
      </c>
      <c r="E35" s="15">
        <v>77347.070000000007</v>
      </c>
      <c r="F35" s="42" t="s">
        <v>53</v>
      </c>
      <c r="BA35" s="1"/>
    </row>
    <row r="36" spans="2:68" x14ac:dyDescent="0.25">
      <c r="B36" s="20" t="s">
        <v>23</v>
      </c>
      <c r="C36" s="14" t="s">
        <v>36</v>
      </c>
      <c r="D36" s="16" t="s">
        <v>35</v>
      </c>
      <c r="E36" s="15">
        <v>45741</v>
      </c>
      <c r="F36" s="42" t="s">
        <v>53</v>
      </c>
      <c r="AC36" s="29">
        <v>1272</v>
      </c>
      <c r="AD36" s="30">
        <v>44104</v>
      </c>
      <c r="AE36" t="s">
        <v>72</v>
      </c>
    </row>
    <row r="37" spans="2:68" x14ac:dyDescent="0.25">
      <c r="B37" s="20"/>
      <c r="C37" s="14"/>
      <c r="D37" s="16"/>
      <c r="E37" s="15"/>
      <c r="F37" s="42"/>
      <c r="AC37" s="29">
        <v>326</v>
      </c>
      <c r="AD37" s="30">
        <v>44104</v>
      </c>
      <c r="AE37" t="s">
        <v>70</v>
      </c>
    </row>
    <row r="38" spans="2:68" x14ac:dyDescent="0.25">
      <c r="B38" s="20"/>
      <c r="C38" s="14"/>
      <c r="D38" s="16"/>
      <c r="E38" s="15"/>
      <c r="F38" s="42"/>
    </row>
    <row r="39" spans="2:68" x14ac:dyDescent="0.25">
      <c r="E39" s="3"/>
    </row>
    <row r="40" spans="2:68" x14ac:dyDescent="0.25">
      <c r="B40" s="21" t="s">
        <v>75</v>
      </c>
      <c r="C40" s="14" t="s">
        <v>37</v>
      </c>
      <c r="D40" s="16" t="s">
        <v>38</v>
      </c>
      <c r="E40" s="15" t="s">
        <v>57</v>
      </c>
      <c r="F40" s="43">
        <v>43966</v>
      </c>
      <c r="J40" s="6" t="s">
        <v>20</v>
      </c>
      <c r="K40" s="37" t="s">
        <v>58</v>
      </c>
      <c r="M40" s="31">
        <v>2997</v>
      </c>
      <c r="N40" s="30">
        <v>43981</v>
      </c>
      <c r="O40" s="30"/>
      <c r="P40" s="29" t="s">
        <v>61</v>
      </c>
      <c r="T40" s="29">
        <v>2997</v>
      </c>
      <c r="U40" s="30">
        <v>44014</v>
      </c>
      <c r="W40" s="29">
        <v>2997</v>
      </c>
      <c r="X40" s="30">
        <v>44046</v>
      </c>
      <c r="Z40" s="29">
        <v>2997</v>
      </c>
      <c r="AA40" s="30">
        <v>44075</v>
      </c>
      <c r="AC40" s="29">
        <v>2997</v>
      </c>
      <c r="AD40" s="30">
        <v>44105</v>
      </c>
      <c r="AH40" s="29">
        <v>2997</v>
      </c>
      <c r="AI40" s="30">
        <v>44135</v>
      </c>
      <c r="AL40" s="29">
        <v>2997</v>
      </c>
      <c r="AM40" s="30">
        <v>44166</v>
      </c>
      <c r="AU40" s="29">
        <v>2997</v>
      </c>
      <c r="AV40" s="30">
        <v>44228</v>
      </c>
      <c r="AY40" s="29">
        <v>2997</v>
      </c>
      <c r="AZ40" s="30">
        <v>44258</v>
      </c>
      <c r="BC40" s="29">
        <v>2997</v>
      </c>
      <c r="BD40" s="30">
        <v>44289</v>
      </c>
      <c r="BH40" s="29">
        <v>2997</v>
      </c>
      <c r="BI40" s="30">
        <v>44319</v>
      </c>
    </row>
    <row r="41" spans="2:68" x14ac:dyDescent="0.25">
      <c r="E41" s="3"/>
      <c r="Z41" s="29">
        <v>1204</v>
      </c>
      <c r="AA41" t="s">
        <v>68</v>
      </c>
      <c r="AB41" s="27"/>
      <c r="AL41" s="29">
        <v>1043</v>
      </c>
      <c r="AM41" s="30">
        <v>44168</v>
      </c>
      <c r="AN41" t="s">
        <v>83</v>
      </c>
    </row>
    <row r="42" spans="2:68" x14ac:dyDescent="0.25">
      <c r="E42" s="3"/>
    </row>
    <row r="43" spans="2:68" x14ac:dyDescent="0.25">
      <c r="B43" s="22" t="s">
        <v>39</v>
      </c>
      <c r="E43" s="3"/>
      <c r="J43" s="6" t="s">
        <v>20</v>
      </c>
      <c r="M43" s="31">
        <v>2000</v>
      </c>
      <c r="N43" s="30">
        <v>43992</v>
      </c>
      <c r="O43" s="30"/>
      <c r="P43" s="29" t="s">
        <v>61</v>
      </c>
      <c r="T43" s="29">
        <v>2000</v>
      </c>
      <c r="U43" s="30">
        <v>44020</v>
      </c>
      <c r="W43" s="29">
        <v>2000</v>
      </c>
      <c r="X43" s="30">
        <v>44050</v>
      </c>
      <c r="Z43" s="29">
        <v>2000</v>
      </c>
      <c r="AA43" s="30">
        <v>44081</v>
      </c>
      <c r="AC43" s="29">
        <v>2000</v>
      </c>
      <c r="AD43" s="30">
        <v>44111</v>
      </c>
      <c r="AH43" s="29">
        <v>2000</v>
      </c>
      <c r="AI43" s="30">
        <v>44142</v>
      </c>
      <c r="AL43" s="29">
        <v>2000</v>
      </c>
      <c r="AM43" s="30">
        <v>44172</v>
      </c>
      <c r="AO43" s="29">
        <v>2000</v>
      </c>
      <c r="AP43" s="30">
        <v>44203</v>
      </c>
      <c r="AU43" s="29">
        <v>2000</v>
      </c>
      <c r="AV43" s="30">
        <v>44233</v>
      </c>
      <c r="AY43" s="29">
        <v>2000</v>
      </c>
      <c r="AZ43" s="30">
        <v>44261</v>
      </c>
      <c r="BC43" s="29">
        <v>2000</v>
      </c>
      <c r="BD43" s="30">
        <v>44293</v>
      </c>
      <c r="BK43" s="29">
        <v>2000</v>
      </c>
      <c r="BL43" s="30">
        <v>44356</v>
      </c>
      <c r="BO43" s="29">
        <v>2000</v>
      </c>
      <c r="BP43" s="30">
        <v>44417</v>
      </c>
    </row>
    <row r="44" spans="2:68" x14ac:dyDescent="0.25">
      <c r="E44" s="3"/>
      <c r="AO44" s="29">
        <v>889</v>
      </c>
      <c r="AP44" s="30">
        <v>44196</v>
      </c>
      <c r="AQ44" t="s">
        <v>83</v>
      </c>
    </row>
    <row r="45" spans="2:68" x14ac:dyDescent="0.25">
      <c r="B45" s="23" t="s">
        <v>40</v>
      </c>
      <c r="C45" t="s">
        <v>41</v>
      </c>
      <c r="E45" s="3"/>
      <c r="J45" s="6" t="s">
        <v>20</v>
      </c>
      <c r="M45" s="31">
        <v>7159</v>
      </c>
      <c r="N45" s="30">
        <v>43998</v>
      </c>
      <c r="O45" s="30"/>
      <c r="T45" s="29">
        <v>7159</v>
      </c>
      <c r="U45" s="30">
        <v>44028</v>
      </c>
      <c r="W45" s="29">
        <v>7159</v>
      </c>
      <c r="X45" s="30">
        <v>44060</v>
      </c>
      <c r="Y45" s="2" t="s">
        <v>67</v>
      </c>
      <c r="Z45" s="29">
        <v>7159</v>
      </c>
      <c r="AA45" s="30">
        <v>44090</v>
      </c>
      <c r="AC45" s="29">
        <v>7159</v>
      </c>
      <c r="AD45" s="30">
        <v>44120</v>
      </c>
      <c r="AE45" s="10" t="s">
        <v>67</v>
      </c>
      <c r="AH45" s="29">
        <v>7159</v>
      </c>
      <c r="AI45" s="30">
        <v>44151</v>
      </c>
      <c r="AJ45" s="10" t="s">
        <v>67</v>
      </c>
      <c r="AL45" s="29">
        <v>7159</v>
      </c>
      <c r="AM45" s="30">
        <v>44181</v>
      </c>
      <c r="AO45" s="29">
        <v>7159</v>
      </c>
      <c r="AP45" s="30">
        <v>44212</v>
      </c>
      <c r="AY45" s="29">
        <v>7159</v>
      </c>
      <c r="AZ45" s="27">
        <v>44271</v>
      </c>
      <c r="BC45" s="29">
        <v>7159</v>
      </c>
      <c r="BD45" s="27">
        <v>44302</v>
      </c>
      <c r="BK45" s="29">
        <v>7159</v>
      </c>
      <c r="BL45" s="27">
        <v>44393</v>
      </c>
      <c r="BO45" s="29">
        <v>7159</v>
      </c>
      <c r="BP45" s="30">
        <v>44059</v>
      </c>
    </row>
    <row r="47" spans="2:68" x14ac:dyDescent="0.25">
      <c r="B47" s="23" t="s">
        <v>42</v>
      </c>
      <c r="C47" t="s">
        <v>43</v>
      </c>
      <c r="J47" s="6" t="s">
        <v>6</v>
      </c>
      <c r="K47" s="1">
        <v>6544</v>
      </c>
      <c r="M47" s="31">
        <v>2181</v>
      </c>
      <c r="N47" s="30">
        <v>44014</v>
      </c>
      <c r="O47" s="30"/>
      <c r="T47" s="29">
        <v>6544</v>
      </c>
      <c r="U47" s="30">
        <v>44013</v>
      </c>
      <c r="AC47" s="29">
        <v>6544</v>
      </c>
      <c r="AD47" s="30">
        <v>44105</v>
      </c>
      <c r="AE47" t="s">
        <v>74</v>
      </c>
      <c r="AO47" s="29">
        <v>6544</v>
      </c>
      <c r="AP47" s="30">
        <v>44197</v>
      </c>
      <c r="AQ47" t="s">
        <v>74</v>
      </c>
      <c r="AY47" s="29">
        <v>6544</v>
      </c>
      <c r="AZ47" s="30">
        <v>44288</v>
      </c>
      <c r="BA47" t="s">
        <v>74</v>
      </c>
      <c r="BK47" s="29">
        <v>6544</v>
      </c>
      <c r="BL47" s="30">
        <v>44378</v>
      </c>
    </row>
    <row r="48" spans="2:68" x14ac:dyDescent="0.25">
      <c r="AO48" s="29">
        <v>1349</v>
      </c>
      <c r="AP48" s="30">
        <v>44190</v>
      </c>
      <c r="AQ48" t="s">
        <v>83</v>
      </c>
    </row>
    <row r="49" spans="1:56" x14ac:dyDescent="0.25">
      <c r="B49" s="24" t="s">
        <v>45</v>
      </c>
      <c r="C49" t="s">
        <v>44</v>
      </c>
      <c r="E49" s="3">
        <v>900000</v>
      </c>
      <c r="G49" s="40">
        <v>45642</v>
      </c>
      <c r="J49" s="6" t="s">
        <v>20</v>
      </c>
      <c r="M49" s="31">
        <v>5700</v>
      </c>
      <c r="N49" s="30">
        <v>44008</v>
      </c>
      <c r="O49" s="30"/>
      <c r="T49" s="1"/>
      <c r="U49" s="30"/>
      <c r="W49" s="29">
        <v>5700</v>
      </c>
      <c r="X49" s="30">
        <v>44069</v>
      </c>
      <c r="Z49" s="29">
        <v>5700</v>
      </c>
      <c r="AA49" s="30">
        <v>44100</v>
      </c>
      <c r="AH49" s="29">
        <v>5700</v>
      </c>
      <c r="AI49" s="30">
        <v>44131</v>
      </c>
      <c r="AL49" s="29">
        <v>5700</v>
      </c>
      <c r="AM49" s="30">
        <v>44192</v>
      </c>
      <c r="AU49" s="29">
        <v>5700</v>
      </c>
      <c r="AV49" s="30">
        <v>44254</v>
      </c>
      <c r="BC49" s="29">
        <v>5700</v>
      </c>
      <c r="BD49" s="30">
        <v>44313</v>
      </c>
    </row>
    <row r="50" spans="1:56" x14ac:dyDescent="0.25">
      <c r="C50" t="s">
        <v>46</v>
      </c>
      <c r="E50" s="3"/>
      <c r="J50" s="6"/>
      <c r="M50" s="31"/>
      <c r="T50" s="1"/>
      <c r="U50" s="30"/>
    </row>
    <row r="51" spans="1:56" x14ac:dyDescent="0.25">
      <c r="E51" s="3"/>
      <c r="J51" s="6"/>
      <c r="M51" s="31"/>
      <c r="T51" s="1"/>
      <c r="U51" s="30"/>
    </row>
    <row r="52" spans="1:56" x14ac:dyDescent="0.25">
      <c r="T52" s="1"/>
      <c r="U52" s="30"/>
    </row>
    <row r="53" spans="1:56" x14ac:dyDescent="0.25">
      <c r="M53" s="32">
        <f>SUM(M6:M49)</f>
        <v>65935.833333333328</v>
      </c>
      <c r="T53" s="1"/>
      <c r="U53" s="30"/>
    </row>
    <row r="54" spans="1:56" x14ac:dyDescent="0.25">
      <c r="T54" s="1"/>
      <c r="U54" s="30"/>
    </row>
    <row r="55" spans="1:56" x14ac:dyDescent="0.25">
      <c r="T55" s="1"/>
      <c r="U55" s="30"/>
    </row>
    <row r="56" spans="1:56" x14ac:dyDescent="0.25">
      <c r="D56" s="48"/>
      <c r="G56" s="6" t="s">
        <v>187</v>
      </c>
      <c r="I56" s="2" t="s">
        <v>188</v>
      </c>
      <c r="T56" s="1"/>
      <c r="U56" s="30"/>
    </row>
    <row r="57" spans="1:56" x14ac:dyDescent="0.25">
      <c r="B57" s="120">
        <v>38688.54</v>
      </c>
      <c r="C57" s="1"/>
      <c r="G57" s="6">
        <v>50000</v>
      </c>
      <c r="H57" t="s">
        <v>186</v>
      </c>
      <c r="I57" s="3">
        <f>D64-G57+D65</f>
        <v>-21763.81</v>
      </c>
      <c r="T57" s="1"/>
      <c r="U57" s="30"/>
    </row>
    <row r="58" spans="1:56" x14ac:dyDescent="0.25">
      <c r="A58" s="6"/>
      <c r="B58" s="120">
        <v>45677.5</v>
      </c>
      <c r="G58" s="6">
        <v>20000</v>
      </c>
      <c r="H58" t="s">
        <v>185</v>
      </c>
      <c r="I58" s="3">
        <f>D93-G58</f>
        <v>-8568</v>
      </c>
      <c r="T58" s="1"/>
      <c r="U58" s="30"/>
    </row>
    <row r="59" spans="1:56" x14ac:dyDescent="0.25">
      <c r="A59" s="31">
        <f>72673</f>
        <v>72673</v>
      </c>
      <c r="B59" s="119"/>
      <c r="D59" s="28" t="s">
        <v>81</v>
      </c>
      <c r="E59" s="3"/>
      <c r="G59" s="6">
        <v>40000</v>
      </c>
      <c r="H59" t="s">
        <v>67</v>
      </c>
      <c r="I59" s="3"/>
    </row>
    <row r="60" spans="1:56" x14ac:dyDescent="0.25">
      <c r="A60" s="31">
        <f>76870.5-D62</f>
        <v>67389.959999999992</v>
      </c>
      <c r="B60" s="1"/>
      <c r="E60" s="3"/>
      <c r="G60" s="6">
        <f>SUM(G57:G59)</f>
        <v>110000</v>
      </c>
      <c r="H60" t="s">
        <v>189</v>
      </c>
    </row>
    <row r="61" spans="1:56" x14ac:dyDescent="0.25">
      <c r="A61" s="1"/>
      <c r="B61" s="1"/>
      <c r="F61" s="31"/>
      <c r="G61" s="31">
        <f>G60+D68</f>
        <v>141031.4</v>
      </c>
    </row>
    <row r="62" spans="1:56" x14ac:dyDescent="0.25">
      <c r="A62" s="120">
        <v>66758.5</v>
      </c>
      <c r="B62" s="1" t="s">
        <v>263</v>
      </c>
      <c r="C62" t="s">
        <v>85</v>
      </c>
      <c r="D62" s="47">
        <v>9480.5400000000009</v>
      </c>
      <c r="E62" s="215">
        <v>46270</v>
      </c>
      <c r="F62" s="118"/>
      <c r="G62" s="31"/>
      <c r="H62" s="1"/>
      <c r="I62" s="10"/>
      <c r="J62" s="1"/>
      <c r="AC62" s="1">
        <v>1232011</v>
      </c>
    </row>
    <row r="63" spans="1:56" x14ac:dyDescent="0.25">
      <c r="A63" s="1"/>
      <c r="B63" s="99"/>
      <c r="C63" t="s">
        <v>86</v>
      </c>
      <c r="D63" s="47">
        <v>1349.3</v>
      </c>
      <c r="E63" s="215">
        <v>46270</v>
      </c>
      <c r="F63" s="26" t="s">
        <v>142</v>
      </c>
      <c r="G63"/>
      <c r="H63" s="1"/>
    </row>
    <row r="64" spans="1:56" x14ac:dyDescent="0.25">
      <c r="A64" s="124" t="s">
        <v>252</v>
      </c>
      <c r="B64" s="1"/>
      <c r="C64" t="s">
        <v>87</v>
      </c>
      <c r="D64" s="47">
        <v>28231.19</v>
      </c>
      <c r="E64" s="215">
        <v>46270</v>
      </c>
      <c r="F64" s="48"/>
      <c r="G64" s="31" t="s">
        <v>175</v>
      </c>
      <c r="I64" s="3"/>
      <c r="J64" s="1"/>
      <c r="K64" s="1"/>
    </row>
    <row r="65" spans="1:9" x14ac:dyDescent="0.25">
      <c r="B65" s="1"/>
      <c r="C65" t="s">
        <v>88</v>
      </c>
      <c r="D65" s="47">
        <v>5</v>
      </c>
      <c r="E65" s="215">
        <v>46270</v>
      </c>
      <c r="G65" s="6" t="s">
        <v>176</v>
      </c>
      <c r="H65" s="59">
        <v>2000</v>
      </c>
      <c r="I65" s="3"/>
    </row>
    <row r="66" spans="1:9" x14ac:dyDescent="0.25">
      <c r="A66" s="1"/>
      <c r="B66" s="94" t="s">
        <v>249</v>
      </c>
      <c r="C66" t="s">
        <v>250</v>
      </c>
      <c r="D66" s="47">
        <v>30848.9</v>
      </c>
      <c r="E66" s="215">
        <v>46270</v>
      </c>
      <c r="F66" s="128"/>
      <c r="G66" s="6" t="s">
        <v>177</v>
      </c>
      <c r="H66" s="59">
        <v>1000</v>
      </c>
      <c r="I66" s="3"/>
    </row>
    <row r="67" spans="1:9" x14ac:dyDescent="0.25">
      <c r="A67" t="s">
        <v>256</v>
      </c>
      <c r="B67" s="94" t="s">
        <v>248</v>
      </c>
      <c r="C67" t="s">
        <v>218</v>
      </c>
      <c r="D67" s="47">
        <v>3752.8</v>
      </c>
      <c r="E67" s="215">
        <v>46270</v>
      </c>
      <c r="F67" s="71"/>
      <c r="H67" s="59"/>
      <c r="I67" s="3"/>
    </row>
    <row r="68" spans="1:9" x14ac:dyDescent="0.25">
      <c r="A68" s="124" t="s">
        <v>251</v>
      </c>
      <c r="B68" s="1"/>
      <c r="C68" t="s">
        <v>18</v>
      </c>
      <c r="D68" s="47">
        <v>31031.4</v>
      </c>
      <c r="E68" s="215">
        <v>46270</v>
      </c>
      <c r="F68" s="48"/>
      <c r="H68" s="59"/>
      <c r="I68" s="3"/>
    </row>
    <row r="69" spans="1:9" x14ac:dyDescent="0.25">
      <c r="B69" s="1"/>
      <c r="C69" t="s">
        <v>89</v>
      </c>
      <c r="D69" s="47">
        <v>4813.3999999999996</v>
      </c>
      <c r="E69" s="215">
        <v>46270</v>
      </c>
      <c r="F69" s="2"/>
      <c r="G69" s="6" t="s">
        <v>178</v>
      </c>
      <c r="H69" s="59">
        <v>1500</v>
      </c>
      <c r="I69" s="3"/>
    </row>
    <row r="70" spans="1:9" ht="15.75" thickBot="1" x14ac:dyDescent="0.3">
      <c r="A70" s="1">
        <v>199</v>
      </c>
      <c r="B70" s="1"/>
      <c r="D70" s="39">
        <f>SUM(D62:D69)</f>
        <v>109512.53</v>
      </c>
      <c r="E70" s="6"/>
      <c r="F70" s="31"/>
      <c r="G70" s="6" t="s">
        <v>177</v>
      </c>
      <c r="H70" s="59">
        <v>800</v>
      </c>
      <c r="I70" s="3"/>
    </row>
    <row r="71" spans="1:9" x14ac:dyDescent="0.25">
      <c r="A71">
        <v>190</v>
      </c>
      <c r="B71" s="1"/>
      <c r="F71" s="31"/>
      <c r="H71" s="59"/>
    </row>
    <row r="72" spans="1:9" x14ac:dyDescent="0.25">
      <c r="A72" s="1">
        <v>798</v>
      </c>
      <c r="B72" s="1"/>
      <c r="C72" s="45" t="s">
        <v>156</v>
      </c>
      <c r="D72" s="45" t="s">
        <v>154</v>
      </c>
      <c r="E72" s="45" t="s">
        <v>155</v>
      </c>
      <c r="F72" s="31"/>
      <c r="G72" s="6" t="s">
        <v>179</v>
      </c>
      <c r="H72" s="59">
        <v>2000</v>
      </c>
    </row>
    <row r="73" spans="1:9" x14ac:dyDescent="0.25">
      <c r="A73" s="1">
        <v>700</v>
      </c>
      <c r="B73" s="1"/>
      <c r="C73" s="78" t="s">
        <v>157</v>
      </c>
      <c r="D73" s="84">
        <v>336591352</v>
      </c>
      <c r="E73" s="84" t="s">
        <v>158</v>
      </c>
      <c r="F73" s="31"/>
      <c r="G73" s="6" t="s">
        <v>180</v>
      </c>
      <c r="H73" s="59">
        <v>1000</v>
      </c>
    </row>
    <row r="74" spans="1:9" x14ac:dyDescent="0.25">
      <c r="A74" s="1">
        <v>579</v>
      </c>
      <c r="B74" s="1"/>
      <c r="C74" s="78" t="s">
        <v>159</v>
      </c>
      <c r="D74" s="79"/>
      <c r="E74" s="84">
        <v>9198</v>
      </c>
      <c r="F74" s="31"/>
    </row>
    <row r="75" spans="1:9" x14ac:dyDescent="0.25">
      <c r="A75" s="1">
        <v>654</v>
      </c>
      <c r="B75" s="1"/>
      <c r="C75" s="78"/>
      <c r="D75" s="79"/>
      <c r="E75" s="80"/>
      <c r="F75" s="31"/>
      <c r="G75" s="6" t="s">
        <v>181</v>
      </c>
      <c r="H75" s="59">
        <v>1000</v>
      </c>
    </row>
    <row r="76" spans="1:9" x14ac:dyDescent="0.25">
      <c r="A76" s="1">
        <v>1500</v>
      </c>
      <c r="B76" s="1">
        <f>B73-4000</f>
        <v>-4000</v>
      </c>
      <c r="C76" s="78" t="s">
        <v>18</v>
      </c>
      <c r="D76" s="84">
        <v>71355049</v>
      </c>
      <c r="E76" s="84" t="s">
        <v>160</v>
      </c>
      <c r="F76" s="31"/>
      <c r="H76" s="60">
        <f>SUM(H65:H75)</f>
        <v>9300</v>
      </c>
    </row>
    <row r="77" spans="1:9" x14ac:dyDescent="0.25">
      <c r="A77" s="1">
        <v>300</v>
      </c>
      <c r="B77" s="1">
        <f>B76-9040</f>
        <v>-13040</v>
      </c>
      <c r="C77" s="78" t="s">
        <v>162</v>
      </c>
      <c r="D77" s="84"/>
      <c r="E77" s="84">
        <v>1959</v>
      </c>
      <c r="F77" s="31"/>
    </row>
    <row r="78" spans="1:9" x14ac:dyDescent="0.25">
      <c r="A78" s="1">
        <v>250</v>
      </c>
      <c r="C78" s="78"/>
      <c r="D78" s="84"/>
      <c r="E78" s="84"/>
      <c r="F78" s="31"/>
    </row>
    <row r="79" spans="1:9" x14ac:dyDescent="0.25">
      <c r="A79" s="1">
        <v>696</v>
      </c>
      <c r="C79" s="78" t="s">
        <v>161</v>
      </c>
      <c r="D79" s="84">
        <v>481001500</v>
      </c>
      <c r="E79" s="84" t="s">
        <v>163</v>
      </c>
      <c r="F79" s="31"/>
    </row>
    <row r="80" spans="1:9" x14ac:dyDescent="0.25">
      <c r="A80" s="1">
        <v>1300</v>
      </c>
      <c r="C80" s="78" t="s">
        <v>162</v>
      </c>
      <c r="D80" s="79"/>
      <c r="E80" s="84">
        <v>1259</v>
      </c>
      <c r="F80" s="31"/>
    </row>
    <row r="81" spans="1:20" x14ac:dyDescent="0.25">
      <c r="A81" s="1">
        <v>29</v>
      </c>
      <c r="C81" s="78"/>
      <c r="D81" s="79"/>
      <c r="E81" s="80"/>
      <c r="F81" s="31"/>
    </row>
    <row r="82" spans="1:20" x14ac:dyDescent="0.25">
      <c r="A82" s="1">
        <v>524</v>
      </c>
      <c r="C82" s="78" t="s">
        <v>85</v>
      </c>
      <c r="D82" s="85" t="s">
        <v>164</v>
      </c>
      <c r="E82" s="84" t="s">
        <v>165</v>
      </c>
    </row>
    <row r="83" spans="1:20" x14ac:dyDescent="0.25">
      <c r="A83" s="1">
        <v>549</v>
      </c>
      <c r="C83" s="78" t="s">
        <v>162</v>
      </c>
      <c r="D83" s="82"/>
      <c r="E83" s="84">
        <v>1967</v>
      </c>
      <c r="F83" s="31"/>
    </row>
    <row r="84" spans="1:20" x14ac:dyDescent="0.25">
      <c r="A84" s="1">
        <v>550</v>
      </c>
      <c r="C84" s="78"/>
      <c r="D84" s="82"/>
      <c r="E84" s="81"/>
      <c r="F84" s="31"/>
    </row>
    <row r="85" spans="1:20" x14ac:dyDescent="0.25">
      <c r="A85" s="1">
        <v>697</v>
      </c>
      <c r="C85" s="78" t="s">
        <v>166</v>
      </c>
      <c r="D85" s="85" t="s">
        <v>167</v>
      </c>
      <c r="E85" s="81"/>
      <c r="F85" s="31" t="s">
        <v>169</v>
      </c>
    </row>
    <row r="86" spans="1:20" x14ac:dyDescent="0.25">
      <c r="A86" s="1">
        <f>SUM(A70:A85)</f>
        <v>9515</v>
      </c>
      <c r="C86" s="78" t="s">
        <v>170</v>
      </c>
      <c r="D86" s="85" t="s">
        <v>168</v>
      </c>
      <c r="E86" s="81"/>
      <c r="F86" s="31"/>
    </row>
    <row r="87" spans="1:20" x14ac:dyDescent="0.25">
      <c r="C87" s="78"/>
      <c r="D87" s="83"/>
      <c r="E87" s="80"/>
    </row>
    <row r="88" spans="1:20" x14ac:dyDescent="0.25">
      <c r="D88" s="48"/>
    </row>
    <row r="89" spans="1:20" x14ac:dyDescent="0.25">
      <c r="T89" s="1"/>
    </row>
    <row r="90" spans="1:20" x14ac:dyDescent="0.25">
      <c r="C90" s="56" t="s">
        <v>100</v>
      </c>
      <c r="T90" s="1"/>
    </row>
    <row r="92" spans="1:20" x14ac:dyDescent="0.25">
      <c r="B92" s="56" t="s">
        <v>101</v>
      </c>
      <c r="C92" s="9">
        <v>39002343834</v>
      </c>
      <c r="D92" s="47">
        <v>130685.5</v>
      </c>
      <c r="E92" s="69">
        <v>44567</v>
      </c>
      <c r="F92" s="10" t="s">
        <v>182</v>
      </c>
      <c r="G92" s="87">
        <v>105751</v>
      </c>
      <c r="H92" s="1" t="s">
        <v>183</v>
      </c>
      <c r="I92" s="2">
        <v>5.6</v>
      </c>
    </row>
    <row r="93" spans="1:20" x14ac:dyDescent="0.25">
      <c r="B93" s="56"/>
      <c r="C93" s="9"/>
      <c r="D93" s="87">
        <v>11432</v>
      </c>
      <c r="E93" s="95">
        <v>44920</v>
      </c>
      <c r="H93" s="1" t="s">
        <v>220</v>
      </c>
    </row>
    <row r="94" spans="1:20" x14ac:dyDescent="0.25">
      <c r="B94" s="56" t="s">
        <v>184</v>
      </c>
      <c r="C94" s="9"/>
      <c r="D94" s="87">
        <v>21911</v>
      </c>
      <c r="E94" s="88">
        <v>45693</v>
      </c>
      <c r="G94" s="31"/>
      <c r="H94" s="1"/>
    </row>
    <row r="95" spans="1:20" x14ac:dyDescent="0.25">
      <c r="B95" t="s">
        <v>266</v>
      </c>
      <c r="D95" s="87">
        <v>27343</v>
      </c>
      <c r="E95" s="88">
        <v>45933</v>
      </c>
    </row>
    <row r="96" spans="1:20" x14ac:dyDescent="0.25">
      <c r="E96" s="6"/>
    </row>
    <row r="97" spans="2:6" x14ac:dyDescent="0.25">
      <c r="B97" s="57" t="s">
        <v>102</v>
      </c>
      <c r="C97" s="9">
        <v>39674808604</v>
      </c>
      <c r="D97" s="47"/>
      <c r="E97" s="30"/>
      <c r="F97" s="9" t="s">
        <v>139</v>
      </c>
    </row>
    <row r="100" spans="2:6" x14ac:dyDescent="0.25">
      <c r="B100" s="119">
        <v>39002343834</v>
      </c>
      <c r="D100" s="48"/>
    </row>
  </sheetData>
  <autoFilter ref="B5:K53" xr:uid="{00000000-0009-0000-0000-000000000000}">
    <sortState xmlns:xlrd2="http://schemas.microsoft.com/office/spreadsheetml/2017/richdata2" ref="B17:K26">
      <sortCondition sortBy="cellColor" ref="E5:E46" dxfId="0"/>
    </sortState>
  </autoFilter>
  <mergeCells count="9">
    <mergeCell ref="BO3:BP3"/>
    <mergeCell ref="BK3:BL3"/>
    <mergeCell ref="BH3:BI3"/>
    <mergeCell ref="BC3:BD3"/>
    <mergeCell ref="AH3:AI3"/>
    <mergeCell ref="AL3:AM3"/>
    <mergeCell ref="AO3:AP3"/>
    <mergeCell ref="AU3:AV3"/>
    <mergeCell ref="AY3:AZ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HC114"/>
  <sheetViews>
    <sheetView tabSelected="1" zoomScale="80" zoomScaleNormal="80" workbookViewId="0">
      <pane xSplit="5" ySplit="4" topLeftCell="GW38" activePane="bottomRight" state="frozen"/>
      <selection pane="topRight" activeCell="E1" sqref="E1"/>
      <selection pane="bottomLeft" activeCell="A5" sqref="A5"/>
      <selection pane="bottomRight" activeCell="GY58" sqref="GY58"/>
    </sheetView>
  </sheetViews>
  <sheetFormatPr defaultRowHeight="15" x14ac:dyDescent="0.25"/>
  <cols>
    <col min="1" max="1" width="6.42578125" customWidth="1"/>
    <col min="2" max="2" width="14.28515625" customWidth="1"/>
    <col min="3" max="3" width="23.28515625" customWidth="1"/>
    <col min="4" max="4" width="23" customWidth="1"/>
    <col min="5" max="5" width="30.85546875" customWidth="1"/>
    <col min="6" max="6" width="22.28515625" customWidth="1"/>
    <col min="7" max="7" width="22.28515625" bestFit="1" customWidth="1"/>
    <col min="8" max="8" width="14.140625" bestFit="1" customWidth="1"/>
    <col min="9" max="9" width="16.7109375" customWidth="1"/>
    <col min="11" max="11" width="11.85546875" customWidth="1"/>
    <col min="12" max="12" width="10.7109375" bestFit="1" customWidth="1"/>
    <col min="13" max="13" width="11" bestFit="1" customWidth="1"/>
    <col min="14" max="14" width="12.140625" customWidth="1"/>
    <col min="16" max="16" width="11.85546875" customWidth="1"/>
    <col min="17" max="17" width="13.5703125" customWidth="1"/>
    <col min="18" max="18" width="9.140625" style="6"/>
    <col min="19" max="19" width="0" hidden="1" customWidth="1"/>
    <col min="20" max="20" width="10.42578125" hidden="1" customWidth="1"/>
    <col min="21" max="21" width="10.5703125" customWidth="1"/>
    <col min="22" max="22" width="12.5703125" customWidth="1"/>
    <col min="23" max="23" width="9.28515625" bestFit="1" customWidth="1"/>
    <col min="24" max="24" width="10.42578125" bestFit="1" customWidth="1"/>
    <col min="26" max="26" width="10.42578125" bestFit="1" customWidth="1"/>
    <col min="27" max="27" width="5.42578125" style="6" bestFit="1" customWidth="1"/>
    <col min="29" max="29" width="10.42578125" bestFit="1" customWidth="1"/>
    <col min="31" max="31" width="13" customWidth="1"/>
    <col min="32" max="32" width="11.7109375" customWidth="1"/>
    <col min="33" max="33" width="10.42578125" bestFit="1" customWidth="1"/>
    <col min="35" max="35" width="10.42578125" bestFit="1" customWidth="1"/>
    <col min="36" max="36" width="14.140625" style="6" customWidth="1"/>
    <col min="38" max="38" width="12.5703125" customWidth="1"/>
    <col min="39" max="39" width="10.42578125" bestFit="1" customWidth="1"/>
    <col min="41" max="41" width="10.5703125" customWidth="1"/>
    <col min="42" max="42" width="10.42578125" bestFit="1" customWidth="1"/>
    <col min="44" max="44" width="11.5703125" customWidth="1"/>
    <col min="45" max="45" width="11.42578125" customWidth="1"/>
    <col min="48" max="48" width="11.7109375" bestFit="1" customWidth="1"/>
    <col min="49" max="49" width="10.42578125" bestFit="1" customWidth="1"/>
    <col min="52" max="52" width="11.7109375" bestFit="1" customWidth="1"/>
    <col min="53" max="53" width="10.42578125" bestFit="1" customWidth="1"/>
    <col min="56" max="56" width="11.85546875" bestFit="1" customWidth="1"/>
    <col min="57" max="57" width="7.5703125" customWidth="1"/>
    <col min="58" max="58" width="13.140625" bestFit="1" customWidth="1"/>
    <col min="59" max="60" width="10.42578125" bestFit="1" customWidth="1"/>
    <col min="62" max="63" width="10.42578125" bestFit="1" customWidth="1"/>
    <col min="65" max="65" width="10.42578125" bestFit="1" customWidth="1"/>
    <col min="68" max="68" width="10.42578125" bestFit="1" customWidth="1"/>
    <col min="71" max="71" width="10.42578125" bestFit="1" customWidth="1"/>
    <col min="74" max="74" width="10.42578125" bestFit="1" customWidth="1"/>
    <col min="77" max="77" width="10.42578125" bestFit="1" customWidth="1"/>
    <col min="79" max="79" width="10.42578125" bestFit="1" customWidth="1"/>
    <col min="80" max="80" width="12.28515625" customWidth="1"/>
    <col min="83" max="83" width="12.85546875" customWidth="1"/>
    <col min="87" max="87" width="10.42578125" bestFit="1" customWidth="1"/>
    <col min="90" max="90" width="10.42578125" bestFit="1" customWidth="1"/>
    <col min="91" max="91" width="11.42578125" customWidth="1"/>
    <col min="93" max="93" width="10.42578125" bestFit="1" customWidth="1"/>
    <col min="94" max="94" width="6.85546875" customWidth="1"/>
    <col min="95" max="95" width="12.5703125" customWidth="1"/>
    <col min="96" max="96" width="12.28515625" customWidth="1"/>
    <col min="98" max="98" width="12.140625" customWidth="1"/>
    <col min="99" max="99" width="14.7109375" customWidth="1"/>
    <col min="101" max="101" width="13.5703125" customWidth="1"/>
    <col min="102" max="102" width="10.42578125" customWidth="1"/>
    <col min="105" max="105" width="10.5703125" bestFit="1" customWidth="1"/>
    <col min="108" max="108" width="10.5703125" bestFit="1" customWidth="1"/>
    <col min="111" max="111" width="10.5703125" bestFit="1" customWidth="1"/>
    <col min="113" max="113" width="9.28515625" bestFit="1" customWidth="1"/>
    <col min="114" max="114" width="10.5703125" bestFit="1" customWidth="1"/>
    <col min="116" max="116" width="13" customWidth="1"/>
    <col min="117" max="117" width="10.5703125" bestFit="1" customWidth="1"/>
    <col min="118" max="118" width="11.5703125" bestFit="1" customWidth="1"/>
    <col min="119" max="119" width="9.28515625" bestFit="1" customWidth="1"/>
    <col min="120" max="120" width="10.5703125" bestFit="1" customWidth="1"/>
    <col min="122" max="122" width="9.28515625" bestFit="1" customWidth="1"/>
    <col min="123" max="123" width="12" customWidth="1"/>
    <col min="124" max="124" width="13.28515625" customWidth="1"/>
    <col min="126" max="126" width="10.5703125" bestFit="1" customWidth="1"/>
    <col min="128" max="128" width="9.28515625" bestFit="1" customWidth="1"/>
    <col min="129" max="129" width="11.28515625" style="6" bestFit="1" customWidth="1"/>
    <col min="130" max="130" width="11" bestFit="1" customWidth="1"/>
    <col min="132" max="132" width="10.5703125" bestFit="1" customWidth="1"/>
    <col min="134" max="134" width="9.28515625" bestFit="1" customWidth="1"/>
    <col min="135" max="135" width="10.5703125" bestFit="1" customWidth="1"/>
    <col min="137" max="137" width="9.28515625" bestFit="1" customWidth="1"/>
    <col min="138" max="138" width="10.5703125" bestFit="1" customWidth="1"/>
    <col min="139" max="139" width="11.85546875" customWidth="1"/>
    <col min="140" max="140" width="11.140625" customWidth="1"/>
    <col min="141" max="141" width="10.85546875" customWidth="1"/>
    <col min="142" max="142" width="14.42578125" customWidth="1"/>
    <col min="143" max="143" width="5.5703125" style="130" customWidth="1"/>
    <col min="144" max="144" width="4" customWidth="1"/>
    <col min="145" max="145" width="4.7109375" customWidth="1"/>
    <col min="146" max="146" width="11.42578125" customWidth="1"/>
    <col min="147" max="147" width="15.7109375" customWidth="1"/>
    <col min="149" max="149" width="12.28515625" customWidth="1"/>
    <col min="150" max="150" width="16.140625" customWidth="1"/>
    <col min="151" max="151" width="6.5703125" customWidth="1"/>
    <col min="152" max="152" width="13.28515625" customWidth="1"/>
    <col min="153" max="153" width="10.5703125" bestFit="1" customWidth="1"/>
    <col min="154" max="154" width="6.7109375" customWidth="1"/>
    <col min="155" max="155" width="13.140625" customWidth="1"/>
    <col min="156" max="156" width="12.85546875" customWidth="1"/>
    <col min="157" max="157" width="5.7109375" customWidth="1"/>
    <col min="158" max="158" width="9.28515625" bestFit="1" customWidth="1"/>
    <col min="159" max="159" width="10.5703125" bestFit="1" customWidth="1"/>
    <col min="160" max="160" width="10.85546875" customWidth="1"/>
    <col min="161" max="161" width="11.42578125" customWidth="1"/>
    <col min="162" max="162" width="10.5703125" bestFit="1" customWidth="1"/>
    <col min="164" max="164" width="9.28515625" bestFit="1" customWidth="1"/>
    <col min="165" max="165" width="10.5703125" bestFit="1" customWidth="1"/>
    <col min="167" max="167" width="9.28515625" bestFit="1" customWidth="1"/>
    <col min="168" max="168" width="10.5703125" bestFit="1" customWidth="1"/>
    <col min="170" max="170" width="11.140625" customWidth="1"/>
    <col min="171" max="171" width="11" customWidth="1"/>
    <col min="173" max="173" width="11.5703125" customWidth="1"/>
    <col min="174" max="174" width="13.42578125" customWidth="1"/>
    <col min="176" max="176" width="12" customWidth="1"/>
    <col min="177" max="177" width="10.28515625" customWidth="1"/>
    <col min="179" max="181" width="10.7109375" bestFit="1" customWidth="1"/>
    <col min="183" max="183" width="16.140625" customWidth="1"/>
    <col min="186" max="186" width="16" customWidth="1"/>
    <col min="188" max="188" width="9.85546875" bestFit="1" customWidth="1"/>
    <col min="189" max="189" width="11.28515625" bestFit="1" customWidth="1"/>
    <col min="190" max="190" width="10" customWidth="1"/>
    <col min="191" max="191" width="14" customWidth="1"/>
    <col min="192" max="192" width="12.5703125" customWidth="1"/>
    <col min="193" max="193" width="15.5703125" bestFit="1" customWidth="1"/>
    <col min="194" max="194" width="14.7109375" customWidth="1"/>
    <col min="195" max="195" width="14.85546875" customWidth="1"/>
    <col min="196" max="196" width="11.140625" customWidth="1"/>
    <col min="197" max="197" width="10.28515625" customWidth="1"/>
    <col min="198" max="198" width="11.140625" customWidth="1"/>
    <col min="199" max="199" width="12.28515625" bestFit="1" customWidth="1"/>
    <col min="200" max="200" width="10.5703125" customWidth="1"/>
    <col min="201" max="201" width="13.5703125" customWidth="1"/>
    <col min="203" max="203" width="12.42578125" customWidth="1"/>
    <col min="204" max="204" width="12.140625" customWidth="1"/>
    <col min="206" max="206" width="11.42578125" bestFit="1" customWidth="1"/>
    <col min="207" max="207" width="11.28515625" bestFit="1" customWidth="1"/>
    <col min="209" max="209" width="9.85546875" bestFit="1" customWidth="1"/>
    <col min="210" max="210" width="11.28515625" bestFit="1" customWidth="1"/>
  </cols>
  <sheetData>
    <row r="1" spans="2:210" x14ac:dyDescent="0.25">
      <c r="I1" s="1"/>
      <c r="EJ1" s="1"/>
      <c r="FR1" s="1"/>
    </row>
    <row r="2" spans="2:210" ht="15.75" thickBot="1" x14ac:dyDescent="0.3">
      <c r="B2">
        <f>2200000*0.0644</f>
        <v>141680</v>
      </c>
      <c r="C2">
        <f>2200000*0.082</f>
        <v>180400</v>
      </c>
      <c r="D2">
        <f>57133+3300+2997+7159+2181</f>
        <v>72770</v>
      </c>
      <c r="E2" s="1">
        <f>SUM(F2:I2)</f>
        <v>685600</v>
      </c>
      <c r="F2" s="1">
        <f>4700000*0.082</f>
        <v>385400</v>
      </c>
      <c r="G2" s="1">
        <f>G32*0.069</f>
        <v>124200.00000000001</v>
      </c>
      <c r="H2" s="1">
        <f>G39*0.065</f>
        <v>65000</v>
      </c>
      <c r="I2" s="1">
        <f>1500000*0.074</f>
        <v>111000</v>
      </c>
      <c r="K2" s="1"/>
      <c r="FT2" s="1"/>
    </row>
    <row r="3" spans="2:210" ht="21.75" thickBot="1" x14ac:dyDescent="0.4">
      <c r="I3" s="1"/>
      <c r="K3" s="1"/>
      <c r="L3" s="1"/>
      <c r="M3" s="4" t="s">
        <v>59</v>
      </c>
      <c r="N3" s="4"/>
      <c r="O3" s="4"/>
      <c r="P3" s="4" t="s">
        <v>20</v>
      </c>
      <c r="Q3" s="4"/>
      <c r="S3" s="199">
        <v>44409</v>
      </c>
      <c r="T3" s="200"/>
      <c r="U3" s="199">
        <v>44440</v>
      </c>
      <c r="V3" s="200"/>
      <c r="W3" s="199">
        <v>44470</v>
      </c>
      <c r="X3" s="200"/>
      <c r="Y3" s="199">
        <v>44501</v>
      </c>
      <c r="Z3" s="200"/>
      <c r="AB3" s="199">
        <v>44531</v>
      </c>
      <c r="AC3" s="200"/>
      <c r="AE3" s="199">
        <v>44562</v>
      </c>
      <c r="AF3" s="200"/>
      <c r="AH3" s="199">
        <v>44593</v>
      </c>
      <c r="AI3" s="200"/>
      <c r="AL3" s="199">
        <v>44621</v>
      </c>
      <c r="AM3" s="200"/>
      <c r="AO3" s="199">
        <v>44652</v>
      </c>
      <c r="AP3" s="200"/>
      <c r="AR3" s="199">
        <v>44682</v>
      </c>
      <c r="AS3" s="200"/>
      <c r="AV3" s="199">
        <v>44713</v>
      </c>
      <c r="AW3" s="200"/>
      <c r="AZ3" s="199">
        <v>44743</v>
      </c>
      <c r="BA3" s="200"/>
      <c r="BC3" s="199">
        <v>44774</v>
      </c>
      <c r="BD3" s="200"/>
      <c r="BF3" s="199">
        <v>44805</v>
      </c>
      <c r="BG3" s="200"/>
      <c r="BI3" s="199">
        <v>44835</v>
      </c>
      <c r="BJ3" s="200"/>
      <c r="BL3" s="199">
        <v>44866</v>
      </c>
      <c r="BM3" s="200"/>
      <c r="BO3" s="199">
        <v>44896</v>
      </c>
      <c r="BP3" s="200"/>
      <c r="BR3" s="169">
        <v>44927</v>
      </c>
      <c r="BS3" s="170"/>
      <c r="BU3" s="189">
        <v>44958</v>
      </c>
      <c r="BV3" s="190"/>
      <c r="BX3" s="175">
        <v>44986</v>
      </c>
      <c r="BY3" s="176"/>
      <c r="CA3" s="191">
        <v>45017</v>
      </c>
      <c r="CB3" s="192"/>
      <c r="CD3" s="187">
        <v>45047</v>
      </c>
      <c r="CE3" s="188"/>
      <c r="CH3" s="169">
        <v>45078</v>
      </c>
      <c r="CI3" s="170"/>
      <c r="CK3" s="167">
        <v>45108</v>
      </c>
      <c r="CL3" s="168"/>
      <c r="CN3" s="195">
        <v>45139</v>
      </c>
      <c r="CO3" s="196"/>
      <c r="CQ3" s="165">
        <v>45170</v>
      </c>
      <c r="CR3" s="166"/>
      <c r="CT3" s="197">
        <v>45200</v>
      </c>
      <c r="CU3" s="198"/>
      <c r="CW3" s="193">
        <v>45231</v>
      </c>
      <c r="CX3" s="194"/>
      <c r="CZ3" s="193">
        <v>45261</v>
      </c>
      <c r="DA3" s="194"/>
      <c r="DC3" s="193">
        <v>45292</v>
      </c>
      <c r="DD3" s="194"/>
      <c r="DF3" s="193">
        <v>45323</v>
      </c>
      <c r="DG3" s="194"/>
      <c r="DI3" s="189">
        <v>45352</v>
      </c>
      <c r="DJ3" s="190"/>
      <c r="DL3" s="169">
        <v>45383</v>
      </c>
      <c r="DM3" s="170"/>
      <c r="DO3" s="167">
        <v>45413</v>
      </c>
      <c r="DP3" s="168"/>
      <c r="DR3" s="165">
        <v>45444</v>
      </c>
      <c r="DS3" s="166"/>
      <c r="DU3" s="169">
        <v>45474</v>
      </c>
      <c r="DV3" s="170"/>
      <c r="DX3" s="177">
        <v>45505</v>
      </c>
      <c r="DY3" s="178"/>
      <c r="EA3" s="173">
        <v>45536</v>
      </c>
      <c r="EB3" s="174"/>
      <c r="ED3" s="175">
        <v>45566</v>
      </c>
      <c r="EE3" s="176"/>
      <c r="EG3" s="165">
        <v>45597</v>
      </c>
      <c r="EH3" s="166"/>
      <c r="EJ3" s="169">
        <v>45627</v>
      </c>
      <c r="EK3" s="170"/>
      <c r="EP3" s="183">
        <v>45658</v>
      </c>
      <c r="EQ3" s="184"/>
      <c r="ES3" s="203">
        <v>45689</v>
      </c>
      <c r="ET3" s="204"/>
      <c r="EV3" s="179">
        <v>45717</v>
      </c>
      <c r="EW3" s="180"/>
      <c r="EY3" s="205">
        <v>45748</v>
      </c>
      <c r="EZ3" s="206"/>
      <c r="FB3" s="185">
        <v>45778</v>
      </c>
      <c r="FC3" s="186"/>
      <c r="FE3" s="183">
        <v>45809</v>
      </c>
      <c r="FF3" s="184"/>
      <c r="FH3" s="181">
        <v>45839</v>
      </c>
      <c r="FI3" s="182"/>
      <c r="FK3" s="203">
        <v>45870</v>
      </c>
      <c r="FL3" s="204"/>
      <c r="FN3" s="171">
        <v>45901</v>
      </c>
      <c r="FO3" s="172"/>
      <c r="FQ3" s="171">
        <v>45931</v>
      </c>
      <c r="FR3" s="172"/>
      <c r="FT3" s="181">
        <v>45962</v>
      </c>
      <c r="FU3" s="182"/>
      <c r="FW3" s="203">
        <v>45992</v>
      </c>
      <c r="FX3" s="204"/>
      <c r="FZ3" s="171">
        <v>46023</v>
      </c>
      <c r="GA3" s="172"/>
      <c r="GC3" s="181">
        <v>46054</v>
      </c>
      <c r="GD3" s="182"/>
      <c r="GF3" s="183">
        <v>46082</v>
      </c>
      <c r="GG3" s="184"/>
      <c r="GI3" s="201">
        <v>46113</v>
      </c>
      <c r="GJ3" s="202"/>
      <c r="GL3" s="213">
        <v>46143</v>
      </c>
      <c r="GM3" s="214"/>
      <c r="GO3" s="209">
        <v>46174</v>
      </c>
      <c r="GP3" s="210"/>
      <c r="GR3" s="211">
        <v>46204</v>
      </c>
      <c r="GS3" s="212"/>
      <c r="GU3" s="171">
        <v>46235</v>
      </c>
      <c r="GV3" s="172"/>
      <c r="GX3" s="181">
        <v>46266</v>
      </c>
      <c r="GY3" s="182"/>
      <c r="HA3" s="207">
        <v>46296</v>
      </c>
      <c r="HB3" s="208"/>
    </row>
    <row r="4" spans="2:210" x14ac:dyDescent="0.25">
      <c r="C4" s="9" t="s">
        <v>9</v>
      </c>
      <c r="D4" s="4" t="s">
        <v>0</v>
      </c>
      <c r="E4" s="4" t="s">
        <v>2</v>
      </c>
      <c r="F4" s="9" t="s">
        <v>9</v>
      </c>
      <c r="G4" s="5" t="s">
        <v>4</v>
      </c>
      <c r="H4" s="28" t="s">
        <v>65</v>
      </c>
      <c r="I4" s="28" t="s">
        <v>66</v>
      </c>
      <c r="J4" t="s">
        <v>134</v>
      </c>
    </row>
    <row r="5" spans="2:210" x14ac:dyDescent="0.25">
      <c r="B5" t="s">
        <v>71</v>
      </c>
      <c r="C5" s="129" t="s">
        <v>257</v>
      </c>
      <c r="D5" s="17" t="s">
        <v>309</v>
      </c>
      <c r="E5" s="4" t="s">
        <v>3</v>
      </c>
      <c r="F5" s="12">
        <v>39002184577</v>
      </c>
      <c r="G5" s="3">
        <v>1500000</v>
      </c>
      <c r="H5" s="151">
        <v>45644</v>
      </c>
      <c r="I5" s="151">
        <v>46739</v>
      </c>
      <c r="J5" s="67">
        <v>8.2000000000000003E-2</v>
      </c>
      <c r="K5" s="3">
        <v>30750</v>
      </c>
      <c r="L5" s="3"/>
      <c r="M5" t="s">
        <v>71</v>
      </c>
      <c r="P5" s="3">
        <f>K5/3</f>
        <v>10250</v>
      </c>
      <c r="Q5" s="3"/>
      <c r="R5" t="s">
        <v>71</v>
      </c>
      <c r="U5" s="1">
        <v>29025</v>
      </c>
      <c r="V5" s="27">
        <v>44469</v>
      </c>
      <c r="W5" s="1"/>
      <c r="X5" s="27"/>
      <c r="Y5" s="1"/>
      <c r="Z5" s="27"/>
      <c r="AA5" s="6" t="s">
        <v>71</v>
      </c>
      <c r="AB5" s="1">
        <v>32250</v>
      </c>
      <c r="AC5" s="27">
        <v>44561</v>
      </c>
      <c r="AE5" s="1"/>
      <c r="AL5" s="1">
        <v>32250</v>
      </c>
      <c r="AM5" s="27">
        <v>44651</v>
      </c>
      <c r="AR5" s="1"/>
      <c r="AS5" s="27"/>
      <c r="AV5" s="1">
        <v>29025</v>
      </c>
      <c r="AW5" s="27">
        <v>44742</v>
      </c>
      <c r="BF5" s="1">
        <v>32250</v>
      </c>
      <c r="BG5" s="89">
        <v>44834</v>
      </c>
      <c r="BO5" s="92">
        <v>32250</v>
      </c>
      <c r="BP5" s="93">
        <v>44926</v>
      </c>
      <c r="BX5" s="92">
        <v>32250</v>
      </c>
      <c r="BY5" s="93">
        <v>45016</v>
      </c>
      <c r="CH5" s="92">
        <v>29025</v>
      </c>
      <c r="CI5" s="93">
        <v>45107</v>
      </c>
      <c r="CM5" s="1"/>
      <c r="CQ5" s="92">
        <v>32250</v>
      </c>
      <c r="CR5" s="93">
        <v>45199</v>
      </c>
      <c r="CZ5" s="92">
        <v>32250</v>
      </c>
      <c r="DA5" s="93">
        <v>45291</v>
      </c>
      <c r="DB5" t="s">
        <v>215</v>
      </c>
      <c r="DI5" s="92">
        <v>32250</v>
      </c>
      <c r="DJ5" s="93">
        <v>45382</v>
      </c>
      <c r="DK5" t="s">
        <v>215</v>
      </c>
      <c r="DR5" s="92">
        <v>32250</v>
      </c>
      <c r="DS5" s="93">
        <v>45473</v>
      </c>
      <c r="DT5" t="s">
        <v>215</v>
      </c>
      <c r="EA5" s="29">
        <v>32250</v>
      </c>
      <c r="EB5" s="125">
        <v>45565</v>
      </c>
      <c r="EC5" t="s">
        <v>215</v>
      </c>
      <c r="EG5" s="1"/>
      <c r="EH5" s="1"/>
      <c r="EJ5" s="29">
        <f>26641+5348</f>
        <v>31989</v>
      </c>
      <c r="EK5" s="93">
        <v>45657</v>
      </c>
      <c r="EL5" t="s">
        <v>215</v>
      </c>
      <c r="EV5" s="29">
        <v>30750</v>
      </c>
      <c r="EW5" s="95">
        <v>45747</v>
      </c>
      <c r="EX5" t="s">
        <v>215</v>
      </c>
      <c r="EZ5" s="1"/>
      <c r="FE5" s="29">
        <v>30750</v>
      </c>
      <c r="FF5" s="95">
        <v>45838</v>
      </c>
      <c r="FG5" t="s">
        <v>215</v>
      </c>
      <c r="FN5" s="29">
        <v>30750</v>
      </c>
      <c r="FO5" s="95">
        <v>45930</v>
      </c>
      <c r="FP5" t="s">
        <v>215</v>
      </c>
      <c r="FW5" s="29">
        <v>30750</v>
      </c>
      <c r="FX5" s="95">
        <v>46022</v>
      </c>
      <c r="FY5" t="s">
        <v>215</v>
      </c>
      <c r="GF5" s="29">
        <v>30750</v>
      </c>
      <c r="GG5" s="95">
        <v>46112</v>
      </c>
      <c r="GH5" t="s">
        <v>215</v>
      </c>
      <c r="GO5" s="29">
        <v>30750</v>
      </c>
      <c r="GP5" s="95">
        <v>46203</v>
      </c>
      <c r="GQ5" t="s">
        <v>215</v>
      </c>
      <c r="GX5" s="90">
        <v>30750</v>
      </c>
      <c r="GY5" s="88">
        <v>46295</v>
      </c>
      <c r="GZ5" t="s">
        <v>215</v>
      </c>
    </row>
    <row r="6" spans="2:210" x14ac:dyDescent="0.25">
      <c r="B6" t="s">
        <v>71</v>
      </c>
      <c r="C6" s="12">
        <v>31098702620</v>
      </c>
      <c r="D6" s="17" t="s">
        <v>309</v>
      </c>
      <c r="E6" s="13" t="s">
        <v>11</v>
      </c>
      <c r="F6" s="12">
        <v>31098702620</v>
      </c>
      <c r="G6" s="3">
        <v>8663</v>
      </c>
      <c r="H6" s="151">
        <v>40255</v>
      </c>
      <c r="I6" s="151">
        <v>47560</v>
      </c>
      <c r="J6" s="67">
        <v>7.4999999999999997E-2</v>
      </c>
      <c r="K6" s="3">
        <v>12561</v>
      </c>
      <c r="M6" t="s">
        <v>282</v>
      </c>
      <c r="R6"/>
      <c r="W6" s="1"/>
      <c r="X6" s="27"/>
      <c r="Y6" s="1"/>
      <c r="Z6" s="27"/>
      <c r="AB6" s="1"/>
      <c r="AR6" s="1"/>
      <c r="AS6" s="27"/>
      <c r="DI6" s="92">
        <v>309</v>
      </c>
      <c r="DJ6" s="93">
        <v>45376</v>
      </c>
      <c r="DK6" t="s">
        <v>140</v>
      </c>
      <c r="EH6" s="1"/>
      <c r="EN6" s="1"/>
      <c r="EO6" s="1"/>
    </row>
    <row r="7" spans="2:210" x14ac:dyDescent="0.25">
      <c r="B7" t="s">
        <v>71</v>
      </c>
      <c r="C7" s="12">
        <v>42889057442</v>
      </c>
      <c r="D7" s="17" t="s">
        <v>309</v>
      </c>
      <c r="E7" s="4" t="s">
        <v>3</v>
      </c>
      <c r="F7" s="12">
        <v>42889057442</v>
      </c>
      <c r="G7" s="3">
        <v>200000</v>
      </c>
      <c r="H7" s="151">
        <v>45398</v>
      </c>
      <c r="I7" s="151">
        <v>47224</v>
      </c>
      <c r="J7" s="67">
        <v>8.2000000000000003E-2</v>
      </c>
      <c r="K7" s="3">
        <f t="shared" ref="K7:K13" si="0">(G7*0.082)/4</f>
        <v>4100</v>
      </c>
      <c r="M7" t="s">
        <v>71</v>
      </c>
      <c r="R7"/>
      <c r="W7" s="1"/>
      <c r="X7" s="27"/>
      <c r="Y7" s="1"/>
      <c r="Z7" s="27"/>
      <c r="AB7" s="1"/>
      <c r="AR7" s="1"/>
      <c r="AS7" s="27"/>
      <c r="DI7" s="92"/>
      <c r="DJ7" s="93"/>
      <c r="DR7" s="92">
        <v>3424</v>
      </c>
      <c r="DS7" s="93">
        <v>45473</v>
      </c>
      <c r="DT7" t="s">
        <v>215</v>
      </c>
      <c r="EA7" s="29">
        <v>4100</v>
      </c>
      <c r="EB7" s="125">
        <v>45565</v>
      </c>
      <c r="EC7" t="s">
        <v>215</v>
      </c>
      <c r="EJ7" s="29">
        <v>4100</v>
      </c>
      <c r="EK7" s="93">
        <v>45657</v>
      </c>
      <c r="EL7" t="s">
        <v>215</v>
      </c>
      <c r="EN7" s="1"/>
      <c r="EV7" s="29">
        <v>4100</v>
      </c>
      <c r="EW7" s="95">
        <v>45747</v>
      </c>
      <c r="EX7" t="s">
        <v>215</v>
      </c>
      <c r="FE7" s="29">
        <v>4100</v>
      </c>
      <c r="FF7" s="95">
        <v>45838</v>
      </c>
      <c r="FG7" t="s">
        <v>215</v>
      </c>
      <c r="FN7" s="29">
        <v>4100</v>
      </c>
      <c r="FO7" s="95">
        <v>45930</v>
      </c>
      <c r="FP7" t="s">
        <v>215</v>
      </c>
      <c r="FT7" s="1"/>
      <c r="FW7" s="29">
        <v>4100</v>
      </c>
      <c r="FX7" s="95">
        <v>46022</v>
      </c>
      <c r="FY7" t="s">
        <v>215</v>
      </c>
      <c r="GF7" s="29">
        <v>4100</v>
      </c>
      <c r="GG7" s="95">
        <v>46112</v>
      </c>
      <c r="GH7" t="s">
        <v>215</v>
      </c>
      <c r="GO7" s="29">
        <v>4100</v>
      </c>
      <c r="GP7" s="95">
        <v>46203</v>
      </c>
      <c r="GQ7" t="s">
        <v>215</v>
      </c>
      <c r="GX7" s="90">
        <v>4100</v>
      </c>
      <c r="GY7" s="88">
        <v>46295</v>
      </c>
      <c r="GZ7" t="s">
        <v>215</v>
      </c>
    </row>
    <row r="8" spans="2:210" x14ac:dyDescent="0.25">
      <c r="B8" t="s">
        <v>71</v>
      </c>
      <c r="C8" s="12">
        <v>43595510264</v>
      </c>
      <c r="D8" s="17" t="s">
        <v>309</v>
      </c>
      <c r="E8" s="4" t="s">
        <v>3</v>
      </c>
      <c r="F8" s="12">
        <v>43595510264</v>
      </c>
      <c r="G8" s="3">
        <v>200000</v>
      </c>
      <c r="H8" s="151">
        <v>45631</v>
      </c>
      <c r="I8" s="151">
        <v>47457</v>
      </c>
      <c r="J8" s="67">
        <v>8.2000000000000003E-2</v>
      </c>
      <c r="K8" s="3">
        <f t="shared" si="0"/>
        <v>4100</v>
      </c>
      <c r="M8" t="s">
        <v>71</v>
      </c>
      <c r="R8"/>
      <c r="W8" s="1"/>
      <c r="X8" s="27"/>
      <c r="Y8" s="1"/>
      <c r="Z8" s="27"/>
      <c r="AB8" s="1"/>
      <c r="AR8" s="1"/>
      <c r="AS8" s="27"/>
      <c r="DI8" s="92"/>
      <c r="DJ8" s="93"/>
      <c r="DR8" s="92"/>
      <c r="DS8" s="93"/>
      <c r="EA8" s="29"/>
      <c r="EB8" s="125"/>
      <c r="EJ8" s="29">
        <v>1203</v>
      </c>
      <c r="EK8" s="93">
        <v>45657</v>
      </c>
      <c r="EL8" t="s">
        <v>215</v>
      </c>
      <c r="EV8" s="29">
        <v>4100</v>
      </c>
      <c r="EW8" s="95">
        <v>45747</v>
      </c>
      <c r="EX8" t="s">
        <v>215</v>
      </c>
      <c r="FE8" s="29">
        <v>4100</v>
      </c>
      <c r="FF8" s="95">
        <v>45838</v>
      </c>
      <c r="FG8" t="s">
        <v>215</v>
      </c>
      <c r="FN8" s="29">
        <v>4100</v>
      </c>
      <c r="FO8" s="95">
        <v>45930</v>
      </c>
      <c r="FP8" t="s">
        <v>215</v>
      </c>
      <c r="FW8" s="29">
        <v>4100</v>
      </c>
      <c r="FX8" s="95">
        <v>46022</v>
      </c>
      <c r="FY8" t="s">
        <v>215</v>
      </c>
      <c r="GF8" s="29">
        <v>4100</v>
      </c>
      <c r="GG8" s="95">
        <v>46112</v>
      </c>
      <c r="GH8" t="s">
        <v>215</v>
      </c>
      <c r="GO8" s="29">
        <v>4100</v>
      </c>
      <c r="GP8" s="95">
        <v>46203</v>
      </c>
      <c r="GQ8" t="s">
        <v>215</v>
      </c>
      <c r="GX8" s="90">
        <v>4100</v>
      </c>
      <c r="GY8" s="88">
        <v>46295</v>
      </c>
      <c r="GZ8" t="s">
        <v>215</v>
      </c>
    </row>
    <row r="9" spans="2:210" x14ac:dyDescent="0.25">
      <c r="B9" t="s">
        <v>71</v>
      </c>
      <c r="C9" s="12">
        <v>44671247222</v>
      </c>
      <c r="D9" s="17" t="s">
        <v>309</v>
      </c>
      <c r="E9" s="4" t="s">
        <v>3</v>
      </c>
      <c r="F9" s="12">
        <v>44671247222</v>
      </c>
      <c r="G9" s="3">
        <v>200000</v>
      </c>
      <c r="H9" s="151">
        <v>45985</v>
      </c>
      <c r="I9" s="151">
        <v>11286</v>
      </c>
      <c r="J9" s="67">
        <v>8.2000000000000003E-2</v>
      </c>
      <c r="K9" s="3">
        <f t="shared" si="0"/>
        <v>4100</v>
      </c>
      <c r="M9" t="s">
        <v>71</v>
      </c>
      <c r="R9"/>
      <c r="W9" s="1"/>
      <c r="X9" s="27"/>
      <c r="Y9" s="1"/>
      <c r="Z9" s="27"/>
      <c r="AB9" s="1"/>
      <c r="AR9" s="1"/>
      <c r="AS9" s="27"/>
      <c r="DI9" s="92"/>
      <c r="DJ9" s="93"/>
      <c r="DR9" s="92"/>
      <c r="DS9" s="93"/>
      <c r="EA9" s="29"/>
      <c r="EB9" s="125"/>
      <c r="EJ9" s="29"/>
      <c r="EK9" s="93"/>
      <c r="EV9" s="29"/>
      <c r="EW9" s="95"/>
      <c r="FE9" s="29"/>
      <c r="FF9" s="95"/>
      <c r="FW9" s="29">
        <v>1693</v>
      </c>
      <c r="FX9" s="95">
        <v>46022</v>
      </c>
      <c r="FY9" t="s">
        <v>215</v>
      </c>
      <c r="GF9" s="29">
        <v>4100</v>
      </c>
      <c r="GG9" s="95">
        <v>46112</v>
      </c>
      <c r="GH9" t="s">
        <v>215</v>
      </c>
      <c r="GO9" s="29">
        <v>4100</v>
      </c>
      <c r="GP9" s="95">
        <v>46203</v>
      </c>
      <c r="GQ9" t="s">
        <v>215</v>
      </c>
      <c r="GX9" s="90">
        <v>4100</v>
      </c>
      <c r="GY9" s="88">
        <v>46295</v>
      </c>
      <c r="GZ9" t="s">
        <v>215</v>
      </c>
    </row>
    <row r="10" spans="2:210" x14ac:dyDescent="0.25">
      <c r="B10" t="s">
        <v>71</v>
      </c>
      <c r="C10" s="12">
        <v>44894010728</v>
      </c>
      <c r="D10" s="17" t="s">
        <v>308</v>
      </c>
      <c r="E10" s="4" t="s">
        <v>3</v>
      </c>
      <c r="F10" s="12">
        <v>44894010728</v>
      </c>
      <c r="G10" s="3">
        <v>200000</v>
      </c>
      <c r="H10" s="151">
        <v>46058</v>
      </c>
      <c r="I10" s="151">
        <v>47884</v>
      </c>
      <c r="J10" s="67">
        <v>8.2000000000000003E-2</v>
      </c>
      <c r="K10" s="3">
        <f t="shared" si="0"/>
        <v>4100</v>
      </c>
      <c r="M10" t="s">
        <v>71</v>
      </c>
      <c r="R10"/>
      <c r="W10" s="1"/>
      <c r="X10" s="27"/>
      <c r="Y10" s="1"/>
      <c r="Z10" s="27"/>
      <c r="AB10" s="1"/>
      <c r="AR10" s="1"/>
      <c r="AS10" s="27"/>
      <c r="DI10" s="92"/>
      <c r="DJ10" s="93"/>
      <c r="DR10" s="92"/>
      <c r="DS10" s="93"/>
      <c r="EA10" s="29"/>
      <c r="EB10" s="125"/>
      <c r="EJ10" s="29"/>
      <c r="EK10" s="93"/>
      <c r="EV10" s="29"/>
      <c r="EW10" s="95"/>
      <c r="FE10" s="29"/>
      <c r="FF10" s="95"/>
      <c r="FW10" s="29"/>
      <c r="FX10" s="95"/>
      <c r="GF10" s="29">
        <v>2506</v>
      </c>
      <c r="GG10" s="95">
        <v>46112</v>
      </c>
      <c r="GH10" t="s">
        <v>215</v>
      </c>
      <c r="GO10" s="29">
        <v>4100</v>
      </c>
      <c r="GP10" s="95">
        <v>46203</v>
      </c>
      <c r="GQ10" t="s">
        <v>215</v>
      </c>
      <c r="GX10" s="90">
        <v>4100</v>
      </c>
      <c r="GY10" s="88">
        <v>46295</v>
      </c>
      <c r="GZ10" t="s">
        <v>215</v>
      </c>
    </row>
    <row r="11" spans="2:210" x14ac:dyDescent="0.25">
      <c r="B11" t="s">
        <v>71</v>
      </c>
      <c r="C11" s="12">
        <v>45352813295</v>
      </c>
      <c r="D11" s="17" t="s">
        <v>308</v>
      </c>
      <c r="E11" s="4" t="s">
        <v>3</v>
      </c>
      <c r="F11" s="12">
        <v>45352813295</v>
      </c>
      <c r="G11" s="3">
        <v>600000</v>
      </c>
      <c r="H11" s="151">
        <v>46210</v>
      </c>
      <c r="I11" s="151">
        <v>48036</v>
      </c>
      <c r="J11" s="67">
        <v>8.2000000000000003E-2</v>
      </c>
      <c r="K11" s="3">
        <f t="shared" si="0"/>
        <v>12300</v>
      </c>
      <c r="M11" t="s">
        <v>71</v>
      </c>
      <c r="R11"/>
      <c r="W11" s="1"/>
      <c r="X11" s="27"/>
      <c r="Y11" s="1"/>
      <c r="Z11" s="27"/>
      <c r="AB11" s="1"/>
      <c r="AR11" s="1"/>
      <c r="AS11" s="27"/>
      <c r="DI11" s="92"/>
      <c r="DJ11" s="93"/>
      <c r="DR11" s="92"/>
      <c r="DS11" s="93"/>
      <c r="EA11" s="29"/>
      <c r="EB11" s="125"/>
      <c r="EJ11" s="29"/>
      <c r="EK11" s="93"/>
      <c r="EV11" s="29"/>
      <c r="EW11" s="95"/>
      <c r="FE11" s="29"/>
      <c r="FF11" s="95"/>
      <c r="GX11" s="90">
        <v>11480</v>
      </c>
      <c r="GY11" s="88">
        <v>46295</v>
      </c>
      <c r="GZ11" t="s">
        <v>215</v>
      </c>
    </row>
    <row r="12" spans="2:210" x14ac:dyDescent="0.25">
      <c r="B12" t="s">
        <v>71</v>
      </c>
      <c r="C12" s="12">
        <v>45477811116</v>
      </c>
      <c r="D12" s="17" t="s">
        <v>308</v>
      </c>
      <c r="E12" s="4" t="s">
        <v>3</v>
      </c>
      <c r="F12" s="12">
        <v>45477811116</v>
      </c>
      <c r="G12" s="3">
        <v>600000</v>
      </c>
      <c r="H12" s="151">
        <v>46248</v>
      </c>
      <c r="I12" s="151">
        <v>48074</v>
      </c>
      <c r="J12" s="67">
        <v>8.2000000000000003E-2</v>
      </c>
      <c r="K12" s="3">
        <f t="shared" si="0"/>
        <v>12300</v>
      </c>
      <c r="M12" t="s">
        <v>71</v>
      </c>
      <c r="R12"/>
      <c r="W12" s="1"/>
      <c r="X12" s="27"/>
      <c r="Y12" s="1"/>
      <c r="Z12" s="27"/>
      <c r="AB12" s="1"/>
      <c r="AR12" s="1"/>
      <c r="AS12" s="27"/>
      <c r="DI12" s="92"/>
      <c r="DJ12" s="93"/>
      <c r="DR12" s="92"/>
      <c r="DS12" s="93"/>
      <c r="EA12" s="29"/>
      <c r="EB12" s="125"/>
      <c r="EJ12" s="29"/>
      <c r="EK12" s="93"/>
      <c r="EV12" s="29"/>
      <c r="EW12" s="95"/>
      <c r="FE12" s="29"/>
      <c r="FF12" s="95"/>
      <c r="GX12" s="90">
        <v>6287</v>
      </c>
      <c r="GY12" s="88">
        <v>46295</v>
      </c>
      <c r="GZ12" t="s">
        <v>215</v>
      </c>
    </row>
    <row r="13" spans="2:210" x14ac:dyDescent="0.25">
      <c r="B13" t="s">
        <v>71</v>
      </c>
      <c r="C13" s="12">
        <v>45536665633</v>
      </c>
      <c r="D13" s="17" t="s">
        <v>308</v>
      </c>
      <c r="E13" s="4" t="s">
        <v>3</v>
      </c>
      <c r="F13" s="12"/>
      <c r="G13" s="3">
        <v>300000</v>
      </c>
      <c r="H13" s="151">
        <v>46268</v>
      </c>
      <c r="I13" s="151">
        <v>48094</v>
      </c>
      <c r="J13" s="67">
        <v>8.2000000000000003E-2</v>
      </c>
      <c r="K13" s="3">
        <f>(G13*0.082)/4</f>
        <v>6150</v>
      </c>
      <c r="R13"/>
      <c r="W13" s="1"/>
      <c r="X13" s="27"/>
      <c r="Y13" s="1"/>
      <c r="Z13" s="27"/>
      <c r="AB13" s="1"/>
      <c r="AR13" s="1"/>
      <c r="AS13" s="27"/>
      <c r="DI13" s="92"/>
      <c r="DJ13" s="93"/>
      <c r="DR13" s="92"/>
      <c r="DS13" s="93"/>
      <c r="EA13" s="29"/>
      <c r="EB13" s="125"/>
      <c r="EJ13" s="29"/>
      <c r="EK13" s="93"/>
      <c r="EV13" s="29"/>
      <c r="EW13" s="95"/>
      <c r="FE13" s="29"/>
      <c r="FF13" s="95"/>
      <c r="GO13" s="29">
        <v>233</v>
      </c>
      <c r="GP13" s="95">
        <v>46198</v>
      </c>
      <c r="GQ13" t="s">
        <v>291</v>
      </c>
    </row>
    <row r="14" spans="2:210" x14ac:dyDescent="0.25">
      <c r="C14" s="12"/>
      <c r="E14" s="4"/>
      <c r="F14" s="12"/>
      <c r="G14" s="3"/>
      <c r="H14" s="40"/>
      <c r="I14" s="40"/>
      <c r="J14" s="67"/>
      <c r="K14" s="3"/>
      <c r="R14"/>
      <c r="W14" s="1"/>
      <c r="X14" s="27"/>
      <c r="Y14" s="1"/>
      <c r="Z14" s="27"/>
      <c r="AB14" s="1"/>
      <c r="AR14" s="1"/>
      <c r="AS14" s="27"/>
      <c r="DI14" s="92"/>
      <c r="DJ14" s="93"/>
      <c r="DR14" s="92"/>
      <c r="DS14" s="93"/>
      <c r="EA14" s="29"/>
      <c r="EB14" s="125"/>
      <c r="EJ14" s="29"/>
      <c r="EK14" s="93"/>
      <c r="EV14" s="29"/>
      <c r="EW14" s="95"/>
      <c r="FE14" s="29"/>
      <c r="FF14" s="95"/>
      <c r="GO14" s="29"/>
      <c r="GP14" s="95"/>
    </row>
    <row r="15" spans="2:210" ht="15.75" x14ac:dyDescent="0.25">
      <c r="C15" s="76" t="s">
        <v>122</v>
      </c>
      <c r="E15" s="13"/>
      <c r="F15" s="76" t="s">
        <v>122</v>
      </c>
      <c r="G15" s="77">
        <f>SUM(G5:G14)</f>
        <v>3808663</v>
      </c>
      <c r="H15" s="40"/>
      <c r="I15" s="40"/>
      <c r="J15" s="67"/>
      <c r="R15"/>
      <c r="W15" s="1"/>
      <c r="X15" s="27"/>
      <c r="Y15" s="1"/>
      <c r="Z15" s="27"/>
      <c r="AB15" s="1"/>
      <c r="AR15" s="1"/>
      <c r="AS15" s="27"/>
      <c r="DL15" s="121">
        <v>-2360</v>
      </c>
      <c r="DM15" s="122">
        <v>45388</v>
      </c>
      <c r="DN15" t="s">
        <v>246</v>
      </c>
      <c r="DR15" s="92">
        <v>348</v>
      </c>
      <c r="DS15" s="93">
        <v>45468</v>
      </c>
      <c r="DT15" t="s">
        <v>140</v>
      </c>
      <c r="EA15" s="29">
        <v>366</v>
      </c>
      <c r="EB15" s="125">
        <v>45560</v>
      </c>
      <c r="EV15" s="29">
        <v>235</v>
      </c>
      <c r="EW15" s="95">
        <v>45741</v>
      </c>
      <c r="EX15" t="s">
        <v>245</v>
      </c>
    </row>
    <row r="16" spans="2:210" x14ac:dyDescent="0.25">
      <c r="I16" s="1"/>
      <c r="R16"/>
      <c r="W16" s="1"/>
      <c r="X16" s="27"/>
      <c r="Y16" s="1"/>
      <c r="Z16" s="27"/>
      <c r="AB16" s="1"/>
      <c r="AE16" s="1"/>
      <c r="AR16" s="1"/>
      <c r="AS16" s="27"/>
    </row>
    <row r="17" spans="2:208" x14ac:dyDescent="0.25">
      <c r="C17" s="73" t="s">
        <v>16</v>
      </c>
      <c r="D17" s="73" t="s">
        <v>18</v>
      </c>
      <c r="E17" s="73" t="s">
        <v>17</v>
      </c>
      <c r="F17" s="73" t="s">
        <v>16</v>
      </c>
      <c r="G17" s="35">
        <v>1000000</v>
      </c>
      <c r="H17" s="49">
        <v>43958</v>
      </c>
      <c r="I17" s="49">
        <v>44689</v>
      </c>
      <c r="J17" s="67">
        <v>6.5000000000000002E-2</v>
      </c>
      <c r="K17" s="3">
        <v>16357</v>
      </c>
      <c r="L17" s="38" t="s">
        <v>146</v>
      </c>
      <c r="M17" t="s">
        <v>71</v>
      </c>
      <c r="P17" s="3">
        <f>K17/3</f>
        <v>5452.333333333333</v>
      </c>
      <c r="Q17" s="3"/>
      <c r="R17" t="s">
        <v>71</v>
      </c>
      <c r="W17" s="1"/>
      <c r="X17" s="27"/>
      <c r="Y17" s="1">
        <v>16384</v>
      </c>
      <c r="Z17" s="27">
        <v>44507</v>
      </c>
      <c r="AA17" s="6" t="s">
        <v>71</v>
      </c>
      <c r="AB17" s="1"/>
      <c r="AE17" s="1"/>
      <c r="AH17" s="1">
        <v>16384</v>
      </c>
      <c r="AI17" s="27">
        <v>44599</v>
      </c>
      <c r="AJ17" s="6" t="s">
        <v>71</v>
      </c>
      <c r="AR17" s="1">
        <v>15849</v>
      </c>
      <c r="AS17" s="27">
        <v>44688</v>
      </c>
      <c r="AT17" s="26" t="s">
        <v>147</v>
      </c>
      <c r="AV17" s="1"/>
      <c r="GL17" s="1"/>
    </row>
    <row r="18" spans="2:208" x14ac:dyDescent="0.25">
      <c r="C18" s="73" t="s">
        <v>19</v>
      </c>
      <c r="D18" s="73" t="s">
        <v>18</v>
      </c>
      <c r="E18" s="73" t="s">
        <v>17</v>
      </c>
      <c r="F18" s="73" t="s">
        <v>19</v>
      </c>
      <c r="G18" s="35">
        <v>400000</v>
      </c>
      <c r="H18" s="49">
        <v>43846</v>
      </c>
      <c r="I18" s="49">
        <v>44942</v>
      </c>
      <c r="J18" s="67">
        <v>6.8599999999999994E-2</v>
      </c>
      <c r="K18" s="3">
        <v>2249</v>
      </c>
      <c r="L18" s="38" t="s">
        <v>146</v>
      </c>
      <c r="M18" t="s">
        <v>20</v>
      </c>
      <c r="P18" s="1">
        <f>K18</f>
        <v>2249</v>
      </c>
      <c r="Q18" s="1"/>
      <c r="R18" t="s">
        <v>20</v>
      </c>
      <c r="S18" s="1">
        <v>2331</v>
      </c>
      <c r="T18" s="27">
        <v>44424</v>
      </c>
      <c r="U18" s="1">
        <v>2331</v>
      </c>
      <c r="V18" s="27">
        <v>44455</v>
      </c>
      <c r="W18" s="1">
        <v>2255</v>
      </c>
      <c r="X18" s="27">
        <v>44485</v>
      </c>
      <c r="Y18" s="1">
        <v>2331</v>
      </c>
      <c r="Z18" s="27">
        <v>44516</v>
      </c>
      <c r="AA18" s="6" t="s">
        <v>138</v>
      </c>
      <c r="AB18" s="1">
        <v>2255</v>
      </c>
      <c r="AC18" s="27">
        <v>44546</v>
      </c>
      <c r="AE18" s="1">
        <v>2331</v>
      </c>
      <c r="AF18" s="27">
        <v>44577</v>
      </c>
      <c r="AG18" s="1"/>
      <c r="AH18" s="1">
        <v>2331</v>
      </c>
      <c r="AI18" s="27">
        <v>44608</v>
      </c>
      <c r="AJ18" s="31" t="s">
        <v>20</v>
      </c>
      <c r="AL18" s="1">
        <v>2105</v>
      </c>
      <c r="AM18" s="27">
        <v>44636</v>
      </c>
      <c r="AO18" s="1">
        <v>2331</v>
      </c>
      <c r="AP18" s="27">
        <v>44667</v>
      </c>
      <c r="AQ18" s="1"/>
      <c r="AR18" s="1">
        <v>2255</v>
      </c>
      <c r="AS18" s="27">
        <v>44697</v>
      </c>
      <c r="AU18" s="1"/>
      <c r="AV18" s="1">
        <v>2331</v>
      </c>
      <c r="AW18" s="27">
        <v>44728</v>
      </c>
      <c r="AZ18" s="1">
        <v>2255</v>
      </c>
      <c r="BA18" s="27">
        <v>44758</v>
      </c>
      <c r="BC18" s="1">
        <v>2331</v>
      </c>
      <c r="BD18" s="27">
        <v>44789</v>
      </c>
      <c r="BF18" s="1">
        <v>2331</v>
      </c>
      <c r="BG18" s="89">
        <v>44820</v>
      </c>
      <c r="BI18" s="1">
        <v>2255</v>
      </c>
      <c r="BJ18" s="89">
        <v>44850</v>
      </c>
      <c r="BL18" s="92">
        <v>2331</v>
      </c>
      <c r="BM18" s="93">
        <v>44881</v>
      </c>
      <c r="BO18" s="92">
        <v>2255</v>
      </c>
      <c r="BP18" s="93">
        <v>44911</v>
      </c>
      <c r="BR18" s="96">
        <v>2331</v>
      </c>
      <c r="BS18" s="97">
        <v>44942</v>
      </c>
      <c r="BU18" s="1"/>
    </row>
    <row r="19" spans="2:208" x14ac:dyDescent="0.25">
      <c r="B19" t="s">
        <v>71</v>
      </c>
      <c r="C19" s="73" t="s">
        <v>78</v>
      </c>
      <c r="D19" s="73" t="s">
        <v>18</v>
      </c>
      <c r="E19" s="73" t="s">
        <v>79</v>
      </c>
      <c r="F19" s="73" t="s">
        <v>78</v>
      </c>
      <c r="G19" s="35">
        <v>1000000</v>
      </c>
      <c r="H19" s="49">
        <v>44147</v>
      </c>
      <c r="I19" s="49">
        <v>45974</v>
      </c>
      <c r="J19" s="67">
        <v>6.25E-2</v>
      </c>
      <c r="K19" s="1">
        <v>15625</v>
      </c>
      <c r="L19" s="38" t="s">
        <v>146</v>
      </c>
      <c r="M19" t="s">
        <v>71</v>
      </c>
      <c r="P19" s="3">
        <f t="shared" ref="P19:P20" si="1">K19/3</f>
        <v>5208.333333333333</v>
      </c>
      <c r="Q19" s="3"/>
      <c r="R19" t="s">
        <v>71</v>
      </c>
      <c r="W19" s="1"/>
      <c r="X19" s="27"/>
      <c r="Y19" s="1">
        <v>15753</v>
      </c>
      <c r="Z19" s="27">
        <v>44512</v>
      </c>
      <c r="AA19" t="s">
        <v>71</v>
      </c>
      <c r="AB19" s="1"/>
      <c r="AC19" s="1"/>
      <c r="AE19" s="1"/>
      <c r="AH19" s="1">
        <v>15753</v>
      </c>
      <c r="AI19" s="27">
        <v>44604</v>
      </c>
      <c r="AJ19" s="6" t="s">
        <v>71</v>
      </c>
      <c r="AR19" s="1">
        <v>15240</v>
      </c>
      <c r="AS19" s="27">
        <v>44693</v>
      </c>
      <c r="AT19" t="s">
        <v>150</v>
      </c>
      <c r="BC19" s="1">
        <v>15753</v>
      </c>
      <c r="BD19" s="27">
        <v>44785</v>
      </c>
      <c r="BL19" s="92">
        <v>15753</v>
      </c>
      <c r="BM19" s="93">
        <v>44877</v>
      </c>
      <c r="BN19" t="s">
        <v>215</v>
      </c>
      <c r="BU19" s="92">
        <v>15753</v>
      </c>
      <c r="BV19" s="93">
        <v>44969</v>
      </c>
      <c r="BW19" t="s">
        <v>215</v>
      </c>
      <c r="CD19" s="92">
        <v>15240</v>
      </c>
      <c r="CE19" s="93">
        <v>45058</v>
      </c>
      <c r="CF19" t="s">
        <v>215</v>
      </c>
      <c r="CG19" s="1"/>
      <c r="CH19" s="98"/>
      <c r="CI19" s="1"/>
      <c r="CK19" s="98"/>
      <c r="CL19" s="27"/>
      <c r="CN19" s="92">
        <v>15753</v>
      </c>
      <c r="CO19" s="93">
        <v>45150</v>
      </c>
      <c r="CP19" t="s">
        <v>215</v>
      </c>
      <c r="CW19" s="92">
        <v>15753</v>
      </c>
      <c r="CX19" s="93">
        <v>45242</v>
      </c>
      <c r="CY19" t="s">
        <v>215</v>
      </c>
      <c r="DF19" s="92">
        <v>15734</v>
      </c>
      <c r="DG19" s="93">
        <v>45334</v>
      </c>
      <c r="DH19" t="s">
        <v>215</v>
      </c>
      <c r="DO19" s="92">
        <v>15368</v>
      </c>
      <c r="DP19" s="93">
        <v>45424</v>
      </c>
      <c r="DQ19" t="s">
        <v>215</v>
      </c>
      <c r="DR19" s="1"/>
      <c r="DX19" s="29">
        <v>15710</v>
      </c>
      <c r="DY19" s="125">
        <v>45516</v>
      </c>
      <c r="DZ19" t="s">
        <v>215</v>
      </c>
      <c r="EG19" s="29">
        <v>15710</v>
      </c>
      <c r="EH19" s="93">
        <v>45608</v>
      </c>
      <c r="EI19" t="s">
        <v>215</v>
      </c>
      <c r="ES19" s="29">
        <v>15730</v>
      </c>
      <c r="ET19" s="95">
        <v>45700</v>
      </c>
      <c r="EU19" t="s">
        <v>215</v>
      </c>
      <c r="FB19" s="29">
        <v>15240</v>
      </c>
      <c r="FC19" s="95">
        <v>45789</v>
      </c>
      <c r="FD19" t="s">
        <v>215</v>
      </c>
      <c r="FE19" s="1"/>
      <c r="FF19" s="1"/>
      <c r="FH19" s="1"/>
      <c r="FK19" s="29">
        <v>15753</v>
      </c>
      <c r="FL19" s="95">
        <v>45881</v>
      </c>
      <c r="FM19" t="s">
        <v>215</v>
      </c>
      <c r="FT19" s="136">
        <v>15753</v>
      </c>
      <c r="FU19" s="137">
        <v>45973</v>
      </c>
      <c r="FV19" s="26" t="s">
        <v>215</v>
      </c>
      <c r="FY19" s="1"/>
    </row>
    <row r="20" spans="2:208" x14ac:dyDescent="0.25">
      <c r="B20" t="s">
        <v>71</v>
      </c>
      <c r="C20" s="73" t="s">
        <v>82</v>
      </c>
      <c r="D20" s="73" t="s">
        <v>18</v>
      </c>
      <c r="E20" s="73" t="s">
        <v>79</v>
      </c>
      <c r="F20" s="73" t="s">
        <v>82</v>
      </c>
      <c r="G20" s="35">
        <v>300000</v>
      </c>
      <c r="H20" s="49">
        <v>44157</v>
      </c>
      <c r="I20" s="49">
        <v>45985</v>
      </c>
      <c r="J20" s="67">
        <v>6.25E-2</v>
      </c>
      <c r="K20" s="1">
        <v>4726</v>
      </c>
      <c r="L20" s="38" t="s">
        <v>146</v>
      </c>
      <c r="M20" t="s">
        <v>71</v>
      </c>
      <c r="P20" s="3">
        <f t="shared" si="1"/>
        <v>1575.3333333333333</v>
      </c>
      <c r="Q20" s="3"/>
      <c r="R20" t="s">
        <v>71</v>
      </c>
      <c r="S20" s="1">
        <v>4726</v>
      </c>
      <c r="T20" s="27">
        <v>44430</v>
      </c>
      <c r="W20" s="1"/>
      <c r="X20" s="27"/>
      <c r="Y20" s="1">
        <v>4726</v>
      </c>
      <c r="Z20" s="27">
        <v>44522</v>
      </c>
      <c r="AA20" t="s">
        <v>71</v>
      </c>
      <c r="AB20" s="1"/>
      <c r="AC20" s="1"/>
      <c r="AE20" s="1"/>
      <c r="AH20" s="31">
        <v>4726</v>
      </c>
      <c r="AI20" s="27">
        <v>44614</v>
      </c>
      <c r="AJ20" s="6" t="s">
        <v>71</v>
      </c>
      <c r="AQ20" s="1"/>
      <c r="AR20" s="86">
        <v>4726</v>
      </c>
      <c r="AS20" s="27">
        <v>44703</v>
      </c>
      <c r="AT20" t="s">
        <v>150</v>
      </c>
      <c r="BC20" s="1">
        <v>4726</v>
      </c>
      <c r="BD20" s="27">
        <v>44795</v>
      </c>
      <c r="BL20" s="92">
        <v>4726</v>
      </c>
      <c r="BM20" s="93">
        <v>44887</v>
      </c>
      <c r="BN20" t="s">
        <v>215</v>
      </c>
      <c r="BU20" s="92">
        <v>4726</v>
      </c>
      <c r="BV20" s="93">
        <v>44979</v>
      </c>
      <c r="BW20" t="s">
        <v>215</v>
      </c>
      <c r="CD20" s="92">
        <v>4572</v>
      </c>
      <c r="CE20" s="93">
        <v>45068</v>
      </c>
      <c r="CF20" t="s">
        <v>215</v>
      </c>
      <c r="CH20" s="98"/>
      <c r="CI20" s="1"/>
      <c r="CN20" s="92">
        <v>4726</v>
      </c>
      <c r="CO20" s="93">
        <v>45160</v>
      </c>
      <c r="CP20" t="s">
        <v>215</v>
      </c>
      <c r="CW20" s="92">
        <v>4726</v>
      </c>
      <c r="CX20" s="93">
        <v>45252</v>
      </c>
      <c r="CY20" t="s">
        <v>215</v>
      </c>
      <c r="DF20" s="92">
        <v>4719</v>
      </c>
      <c r="DG20" s="93">
        <v>45344</v>
      </c>
      <c r="DH20" t="s">
        <v>215</v>
      </c>
      <c r="DO20" s="92">
        <v>4611</v>
      </c>
      <c r="DP20" s="93">
        <v>45434</v>
      </c>
      <c r="DQ20" t="s">
        <v>215</v>
      </c>
      <c r="DX20" s="29">
        <v>4713</v>
      </c>
      <c r="DY20" s="125">
        <v>45526</v>
      </c>
      <c r="DZ20" t="s">
        <v>215</v>
      </c>
      <c r="EG20" s="29">
        <v>4713</v>
      </c>
      <c r="EH20" s="93">
        <v>45618</v>
      </c>
      <c r="EI20" t="s">
        <v>215</v>
      </c>
      <c r="ES20" s="29">
        <v>4720</v>
      </c>
      <c r="ET20" s="95">
        <v>45710</v>
      </c>
      <c r="EU20" t="s">
        <v>215</v>
      </c>
      <c r="FB20" s="29">
        <v>4572</v>
      </c>
      <c r="FC20" s="95">
        <v>45799</v>
      </c>
      <c r="FD20" t="s">
        <v>215</v>
      </c>
      <c r="FF20" s="1"/>
      <c r="FH20" s="1"/>
      <c r="FK20" s="29">
        <v>4726</v>
      </c>
      <c r="FL20" s="95">
        <v>45891</v>
      </c>
      <c r="FM20" t="s">
        <v>215</v>
      </c>
      <c r="FT20" s="136">
        <v>4726</v>
      </c>
      <c r="FU20" s="137">
        <v>45983</v>
      </c>
      <c r="FV20" s="26" t="s">
        <v>215</v>
      </c>
      <c r="FX20" s="1"/>
    </row>
    <row r="21" spans="2:208" x14ac:dyDescent="0.25">
      <c r="B21" t="s">
        <v>71</v>
      </c>
      <c r="C21" s="73" t="s">
        <v>131</v>
      </c>
      <c r="D21" s="73" t="s">
        <v>18</v>
      </c>
      <c r="E21" s="73" t="s">
        <v>79</v>
      </c>
      <c r="F21" s="73" t="s">
        <v>131</v>
      </c>
      <c r="G21" s="35">
        <v>200000</v>
      </c>
      <c r="H21" s="49">
        <v>44420</v>
      </c>
      <c r="I21" s="49">
        <v>46248</v>
      </c>
      <c r="J21" s="67">
        <v>6.25E-2</v>
      </c>
      <c r="K21" s="1">
        <v>3120</v>
      </c>
      <c r="L21" s="38" t="s">
        <v>146</v>
      </c>
      <c r="M21" t="s">
        <v>71</v>
      </c>
      <c r="P21" s="3">
        <f>K21/3</f>
        <v>1040</v>
      </c>
      <c r="Q21" s="3"/>
      <c r="R21" t="s">
        <v>71</v>
      </c>
      <c r="W21" s="1"/>
      <c r="X21" s="27"/>
      <c r="Y21" s="1">
        <v>3151</v>
      </c>
      <c r="Z21" s="27">
        <v>44512</v>
      </c>
      <c r="AA21" t="s">
        <v>71</v>
      </c>
      <c r="AB21" s="1"/>
      <c r="AC21" s="1"/>
      <c r="AE21" s="1"/>
      <c r="AH21" s="31">
        <v>3151</v>
      </c>
      <c r="AI21" s="27">
        <v>44604</v>
      </c>
      <c r="AJ21" s="6" t="s">
        <v>71</v>
      </c>
      <c r="AR21" s="1">
        <v>3048</v>
      </c>
      <c r="AS21" s="27">
        <v>44693</v>
      </c>
      <c r="AT21" t="s">
        <v>150</v>
      </c>
      <c r="BC21" s="1">
        <v>3151</v>
      </c>
      <c r="BD21" s="27">
        <v>44785</v>
      </c>
      <c r="BL21" s="92">
        <v>3151</v>
      </c>
      <c r="BM21" s="93">
        <v>44877</v>
      </c>
      <c r="BN21" t="s">
        <v>215</v>
      </c>
      <c r="BU21" s="92">
        <v>3151</v>
      </c>
      <c r="BV21" s="93">
        <v>44969</v>
      </c>
      <c r="BW21" t="s">
        <v>215</v>
      </c>
      <c r="CD21" s="92">
        <v>3048</v>
      </c>
      <c r="CE21" s="93">
        <v>45058</v>
      </c>
      <c r="CF21" t="s">
        <v>215</v>
      </c>
      <c r="CH21" s="98"/>
      <c r="CI21" s="1"/>
      <c r="CN21" s="92">
        <v>3151</v>
      </c>
      <c r="CO21" s="93">
        <v>45150</v>
      </c>
      <c r="CP21" t="s">
        <v>215</v>
      </c>
      <c r="CW21" s="92">
        <v>3151</v>
      </c>
      <c r="CX21" s="93">
        <v>45242</v>
      </c>
      <c r="CY21" t="s">
        <v>215</v>
      </c>
      <c r="DF21" s="92">
        <v>3147</v>
      </c>
      <c r="DG21" s="93">
        <v>45334</v>
      </c>
      <c r="DH21" t="s">
        <v>215</v>
      </c>
      <c r="DO21" s="92">
        <v>3074</v>
      </c>
      <c r="DP21" s="93">
        <v>45424</v>
      </c>
      <c r="DQ21" t="s">
        <v>215</v>
      </c>
      <c r="DR21" s="1"/>
      <c r="DX21" s="29">
        <v>3142</v>
      </c>
      <c r="DY21" s="125">
        <v>45516</v>
      </c>
      <c r="DZ21" t="s">
        <v>215</v>
      </c>
      <c r="EG21" s="29">
        <v>3142</v>
      </c>
      <c r="EH21" s="93">
        <v>45608</v>
      </c>
      <c r="EI21" t="s">
        <v>215</v>
      </c>
      <c r="ES21" s="29">
        <v>3146</v>
      </c>
      <c r="ET21" s="95">
        <v>45700</v>
      </c>
      <c r="EU21" t="s">
        <v>215</v>
      </c>
      <c r="FB21" s="29">
        <v>3048</v>
      </c>
      <c r="FC21" s="95">
        <v>45789</v>
      </c>
      <c r="FD21" t="s">
        <v>215</v>
      </c>
      <c r="FF21" s="1"/>
      <c r="FH21" s="1"/>
      <c r="FK21" s="29">
        <v>3151</v>
      </c>
      <c r="FL21" s="95">
        <v>45881</v>
      </c>
      <c r="FM21" t="s">
        <v>215</v>
      </c>
      <c r="FT21" s="29">
        <v>3151</v>
      </c>
      <c r="FU21" s="95">
        <v>45973</v>
      </c>
      <c r="FV21" t="s">
        <v>215</v>
      </c>
      <c r="GC21" s="29">
        <v>3151</v>
      </c>
      <c r="GD21" s="125">
        <v>46065</v>
      </c>
      <c r="GE21" t="s">
        <v>215</v>
      </c>
      <c r="GL21" s="29">
        <v>3048</v>
      </c>
      <c r="GM21" s="125">
        <v>46154</v>
      </c>
      <c r="GN21" t="s">
        <v>215</v>
      </c>
      <c r="GU21" s="29">
        <v>3048</v>
      </c>
      <c r="GV21" s="95">
        <v>46246</v>
      </c>
      <c r="GW21" t="s">
        <v>215</v>
      </c>
    </row>
    <row r="22" spans="2:208" x14ac:dyDescent="0.25">
      <c r="B22" t="s">
        <v>71</v>
      </c>
      <c r="C22" s="73" t="s">
        <v>132</v>
      </c>
      <c r="D22" s="73" t="s">
        <v>18</v>
      </c>
      <c r="E22" s="73" t="s">
        <v>79</v>
      </c>
      <c r="F22" s="73" t="s">
        <v>132</v>
      </c>
      <c r="G22" s="35">
        <v>200000</v>
      </c>
      <c r="H22" s="49">
        <v>44420</v>
      </c>
      <c r="I22" s="49">
        <v>46248</v>
      </c>
      <c r="J22" s="67">
        <v>6.25E-2</v>
      </c>
      <c r="K22" s="1">
        <v>3120</v>
      </c>
      <c r="L22" s="38" t="s">
        <v>146</v>
      </c>
      <c r="M22" t="s">
        <v>71</v>
      </c>
      <c r="P22" s="3">
        <f t="shared" ref="P22:P23" si="2">K22/3</f>
        <v>1040</v>
      </c>
      <c r="Q22" s="3"/>
      <c r="R22" t="s">
        <v>71</v>
      </c>
      <c r="W22" s="1"/>
      <c r="X22" s="27"/>
      <c r="Y22" s="1">
        <v>3151</v>
      </c>
      <c r="Z22" s="27">
        <v>44512</v>
      </c>
      <c r="AA22" t="s">
        <v>71</v>
      </c>
      <c r="AB22" s="1"/>
      <c r="AC22" s="1"/>
      <c r="AE22" s="1"/>
      <c r="AH22" s="31">
        <v>3151</v>
      </c>
      <c r="AI22" s="27">
        <v>44604</v>
      </c>
      <c r="AJ22" s="6" t="s">
        <v>71</v>
      </c>
      <c r="AR22" s="1">
        <v>3048</v>
      </c>
      <c r="AS22" s="27">
        <v>44693</v>
      </c>
      <c r="AT22" t="s">
        <v>150</v>
      </c>
      <c r="BC22" s="1">
        <v>3151</v>
      </c>
      <c r="BD22" s="27">
        <v>44785</v>
      </c>
      <c r="BL22" s="92">
        <v>3151</v>
      </c>
      <c r="BM22" s="93">
        <v>44877</v>
      </c>
      <c r="BN22" t="s">
        <v>215</v>
      </c>
      <c r="BU22" s="92">
        <v>3151</v>
      </c>
      <c r="BV22" s="93">
        <v>44969</v>
      </c>
      <c r="BW22" t="s">
        <v>215</v>
      </c>
      <c r="CD22" s="92">
        <v>3049</v>
      </c>
      <c r="CE22" s="93">
        <v>45058</v>
      </c>
      <c r="CF22" t="s">
        <v>215</v>
      </c>
      <c r="CH22" s="98"/>
      <c r="CI22" s="1"/>
      <c r="CN22" s="92">
        <v>3151</v>
      </c>
      <c r="CO22" s="93">
        <v>45150</v>
      </c>
      <c r="CP22" t="s">
        <v>215</v>
      </c>
      <c r="CW22" s="92">
        <v>3151</v>
      </c>
      <c r="CX22" s="93">
        <v>45242</v>
      </c>
      <c r="CY22" t="s">
        <v>215</v>
      </c>
      <c r="DF22" s="92">
        <v>3147</v>
      </c>
      <c r="DG22" s="93">
        <v>45334</v>
      </c>
      <c r="DH22" t="s">
        <v>215</v>
      </c>
      <c r="DO22" s="92">
        <v>3074</v>
      </c>
      <c r="DP22" s="93">
        <v>45424</v>
      </c>
      <c r="DQ22" t="s">
        <v>215</v>
      </c>
      <c r="DX22" s="29">
        <v>3142</v>
      </c>
      <c r="DY22" s="125">
        <v>45516</v>
      </c>
      <c r="DZ22" t="s">
        <v>215</v>
      </c>
      <c r="EG22" s="29">
        <v>3142</v>
      </c>
      <c r="EH22" s="93">
        <v>45608</v>
      </c>
      <c r="EI22" t="s">
        <v>215</v>
      </c>
      <c r="ES22" s="29">
        <v>3146</v>
      </c>
      <c r="ET22" s="95">
        <v>45700</v>
      </c>
      <c r="EU22" t="s">
        <v>215</v>
      </c>
      <c r="FB22" s="29">
        <v>3048</v>
      </c>
      <c r="FC22" s="95">
        <v>45789</v>
      </c>
      <c r="FD22" t="s">
        <v>215</v>
      </c>
      <c r="FF22" s="1"/>
      <c r="FH22" s="1"/>
      <c r="FK22" s="29">
        <v>3151</v>
      </c>
      <c r="FL22" s="95">
        <v>45881</v>
      </c>
      <c r="FM22" t="s">
        <v>215</v>
      </c>
      <c r="FT22" s="29">
        <v>3151</v>
      </c>
      <c r="FU22" s="95">
        <v>45973</v>
      </c>
      <c r="FV22" t="s">
        <v>215</v>
      </c>
      <c r="FY22" s="1"/>
      <c r="GC22" s="29">
        <v>3151</v>
      </c>
      <c r="GD22" s="125">
        <v>46065</v>
      </c>
      <c r="GE22" t="s">
        <v>215</v>
      </c>
      <c r="GL22" s="29">
        <v>3048</v>
      </c>
      <c r="GM22" s="125">
        <v>46154</v>
      </c>
      <c r="GN22" t="s">
        <v>215</v>
      </c>
      <c r="GU22" s="29">
        <v>3048</v>
      </c>
      <c r="GV22" s="95">
        <v>46246</v>
      </c>
      <c r="GW22" t="s">
        <v>215</v>
      </c>
    </row>
    <row r="23" spans="2:208" x14ac:dyDescent="0.25">
      <c r="B23" t="s">
        <v>71</v>
      </c>
      <c r="C23" s="73" t="s">
        <v>133</v>
      </c>
      <c r="D23" s="73" t="s">
        <v>18</v>
      </c>
      <c r="E23" s="73" t="s">
        <v>79</v>
      </c>
      <c r="F23" s="73" t="s">
        <v>133</v>
      </c>
      <c r="G23" s="35">
        <v>200000</v>
      </c>
      <c r="H23" s="49">
        <v>44420</v>
      </c>
      <c r="I23" s="49">
        <v>46248</v>
      </c>
      <c r="J23" s="67">
        <v>6.25E-2</v>
      </c>
      <c r="K23" s="1">
        <v>3120</v>
      </c>
      <c r="L23" s="38" t="s">
        <v>146</v>
      </c>
      <c r="M23" t="s">
        <v>71</v>
      </c>
      <c r="P23" s="3">
        <f t="shared" si="2"/>
        <v>1040</v>
      </c>
      <c r="Q23" s="3"/>
      <c r="R23" t="s">
        <v>71</v>
      </c>
      <c r="W23" s="1"/>
      <c r="X23" s="27"/>
      <c r="Y23" s="1">
        <v>3151</v>
      </c>
      <c r="Z23" s="27">
        <v>44512</v>
      </c>
      <c r="AA23" t="s">
        <v>71</v>
      </c>
      <c r="AB23" s="1"/>
      <c r="AC23" s="1"/>
      <c r="AE23" s="1"/>
      <c r="AH23" s="31">
        <v>3151</v>
      </c>
      <c r="AI23" s="27">
        <v>44604</v>
      </c>
      <c r="AJ23" s="6" t="s">
        <v>71</v>
      </c>
      <c r="AR23" s="1">
        <v>3048</v>
      </c>
      <c r="AS23" s="27">
        <v>44693</v>
      </c>
      <c r="AT23" t="s">
        <v>150</v>
      </c>
      <c r="BC23" s="1">
        <v>3151</v>
      </c>
      <c r="BD23" s="27">
        <v>44785</v>
      </c>
      <c r="BL23" s="92">
        <v>3151</v>
      </c>
      <c r="BM23" s="93">
        <v>44877</v>
      </c>
      <c r="BN23" t="s">
        <v>215</v>
      </c>
      <c r="BU23" s="92">
        <v>3151</v>
      </c>
      <c r="BV23" s="93">
        <v>44969</v>
      </c>
      <c r="BW23" t="s">
        <v>215</v>
      </c>
      <c r="CD23" s="92">
        <v>3050</v>
      </c>
      <c r="CE23" s="93">
        <v>45058</v>
      </c>
      <c r="CF23" t="s">
        <v>215</v>
      </c>
      <c r="CH23" s="98"/>
      <c r="CI23" s="1"/>
      <c r="CN23" s="92">
        <v>3151</v>
      </c>
      <c r="CO23" s="93">
        <v>45150</v>
      </c>
      <c r="CP23" t="s">
        <v>215</v>
      </c>
      <c r="CW23" s="92">
        <v>3151</v>
      </c>
      <c r="CX23" s="93">
        <v>45242</v>
      </c>
      <c r="CY23" t="s">
        <v>215</v>
      </c>
      <c r="DF23" s="92">
        <v>3147</v>
      </c>
      <c r="DG23" s="93">
        <v>45334</v>
      </c>
      <c r="DH23" t="s">
        <v>215</v>
      </c>
      <c r="DO23" s="92">
        <v>3074</v>
      </c>
      <c r="DP23" s="93">
        <v>45424</v>
      </c>
      <c r="DQ23" t="s">
        <v>215</v>
      </c>
      <c r="DX23" s="29">
        <v>3142</v>
      </c>
      <c r="DY23" s="125">
        <v>45516</v>
      </c>
      <c r="DZ23" t="s">
        <v>215</v>
      </c>
      <c r="EG23" s="29">
        <v>3142</v>
      </c>
      <c r="EH23" s="93">
        <v>45608</v>
      </c>
      <c r="EI23" t="s">
        <v>215</v>
      </c>
      <c r="ES23" s="29">
        <v>3146</v>
      </c>
      <c r="ET23" s="95">
        <v>45700</v>
      </c>
      <c r="EU23" t="s">
        <v>215</v>
      </c>
      <c r="FB23" s="29">
        <v>3048</v>
      </c>
      <c r="FC23" s="95">
        <v>45789</v>
      </c>
      <c r="FD23" t="s">
        <v>215</v>
      </c>
      <c r="FF23" s="1"/>
      <c r="FH23" s="1"/>
      <c r="FK23" s="29">
        <v>3151</v>
      </c>
      <c r="FL23" s="95">
        <v>45881</v>
      </c>
      <c r="FM23" t="s">
        <v>215</v>
      </c>
      <c r="FT23" s="29">
        <v>3151</v>
      </c>
      <c r="FU23" s="95">
        <v>45973</v>
      </c>
      <c r="FV23" t="s">
        <v>215</v>
      </c>
      <c r="FY23" s="1"/>
      <c r="GC23" s="29">
        <v>3151</v>
      </c>
      <c r="GD23" s="125">
        <v>46065</v>
      </c>
      <c r="GE23" t="s">
        <v>215</v>
      </c>
      <c r="GL23" s="29">
        <v>3048</v>
      </c>
      <c r="GM23" s="125">
        <v>46154</v>
      </c>
      <c r="GN23" t="s">
        <v>215</v>
      </c>
      <c r="GU23" s="29">
        <v>3048</v>
      </c>
      <c r="GV23" s="95">
        <v>46246</v>
      </c>
      <c r="GW23" t="s">
        <v>215</v>
      </c>
    </row>
    <row r="24" spans="2:208" x14ac:dyDescent="0.25">
      <c r="B24" t="s">
        <v>71</v>
      </c>
      <c r="C24" s="12" t="s">
        <v>148</v>
      </c>
      <c r="D24" s="19" t="s">
        <v>18</v>
      </c>
      <c r="E24" s="4" t="s">
        <v>79</v>
      </c>
      <c r="F24" s="12" t="s">
        <v>148</v>
      </c>
      <c r="G24" s="3">
        <v>500000</v>
      </c>
      <c r="H24" s="41">
        <v>44689</v>
      </c>
      <c r="I24" s="41">
        <v>46517</v>
      </c>
      <c r="J24" s="67">
        <v>6.3500000000000001E-2</v>
      </c>
      <c r="K24" s="1">
        <f>2645*3</f>
        <v>7935</v>
      </c>
      <c r="M24" t="s">
        <v>71</v>
      </c>
      <c r="P24" s="3"/>
      <c r="Q24" s="3"/>
      <c r="R24"/>
      <c r="W24" s="1"/>
      <c r="X24" s="27"/>
      <c r="Y24" s="1"/>
      <c r="Z24" s="27"/>
      <c r="AA24"/>
      <c r="AB24" s="1"/>
      <c r="AC24" s="1"/>
      <c r="AE24" s="1"/>
      <c r="AH24" s="31"/>
      <c r="AI24" s="27"/>
      <c r="BC24" s="1">
        <v>8003</v>
      </c>
      <c r="BD24" s="27">
        <v>44781</v>
      </c>
      <c r="BL24" s="92">
        <v>8003</v>
      </c>
      <c r="BM24" s="93">
        <v>44873</v>
      </c>
      <c r="BN24" t="s">
        <v>215</v>
      </c>
      <c r="BU24" s="92">
        <v>8003</v>
      </c>
      <c r="BV24" s="93">
        <v>44965</v>
      </c>
      <c r="BW24" t="s">
        <v>215</v>
      </c>
      <c r="CD24" s="92">
        <v>7741</v>
      </c>
      <c r="CE24" s="93">
        <v>45054</v>
      </c>
      <c r="CF24" t="s">
        <v>215</v>
      </c>
      <c r="CH24" s="98"/>
      <c r="CI24" s="1"/>
      <c r="CN24" s="92">
        <v>8003</v>
      </c>
      <c r="CO24" s="93">
        <v>45146</v>
      </c>
      <c r="CP24" t="s">
        <v>215</v>
      </c>
      <c r="CT24" s="1"/>
      <c r="CW24" s="92">
        <v>8003</v>
      </c>
      <c r="CX24" s="93">
        <v>45238</v>
      </c>
      <c r="CY24" t="s">
        <v>215</v>
      </c>
      <c r="DF24" s="92">
        <v>7994</v>
      </c>
      <c r="DG24" s="93">
        <v>45330</v>
      </c>
      <c r="DH24" t="s">
        <v>215</v>
      </c>
      <c r="DO24" s="92">
        <v>7994</v>
      </c>
      <c r="DP24" s="93">
        <v>45420</v>
      </c>
      <c r="DQ24" t="s">
        <v>215</v>
      </c>
      <c r="DX24" s="29">
        <v>7981</v>
      </c>
      <c r="DY24" s="125">
        <v>45512</v>
      </c>
      <c r="DZ24" t="s">
        <v>215</v>
      </c>
      <c r="EG24" s="29">
        <v>7981</v>
      </c>
      <c r="EH24" s="93">
        <v>45604</v>
      </c>
      <c r="EI24" t="s">
        <v>215</v>
      </c>
      <c r="ES24" s="29">
        <v>7990</v>
      </c>
      <c r="ET24" s="95">
        <v>45696</v>
      </c>
      <c r="EU24" t="s">
        <v>215</v>
      </c>
      <c r="FB24" s="29">
        <v>7741</v>
      </c>
      <c r="FC24" s="95">
        <v>45785</v>
      </c>
      <c r="FD24" t="s">
        <v>215</v>
      </c>
      <c r="FF24" s="1"/>
      <c r="FH24" s="1"/>
      <c r="FK24" s="29">
        <v>8003</v>
      </c>
      <c r="FL24" s="95">
        <v>45877</v>
      </c>
      <c r="FM24" t="s">
        <v>215</v>
      </c>
      <c r="FT24" s="29">
        <v>8003</v>
      </c>
      <c r="FU24" s="95">
        <v>45969</v>
      </c>
      <c r="FV24" t="s">
        <v>215</v>
      </c>
      <c r="GC24" s="29">
        <v>8003</v>
      </c>
      <c r="GD24" s="125">
        <v>46061</v>
      </c>
      <c r="GE24" t="s">
        <v>215</v>
      </c>
      <c r="GL24" s="29">
        <v>7741</v>
      </c>
      <c r="GM24" s="125">
        <v>46150</v>
      </c>
      <c r="GN24" t="s">
        <v>215</v>
      </c>
      <c r="GU24" s="29">
        <v>8003</v>
      </c>
      <c r="GV24" s="95">
        <v>46242</v>
      </c>
      <c r="GW24" t="s">
        <v>215</v>
      </c>
    </row>
    <row r="25" spans="2:208" x14ac:dyDescent="0.25">
      <c r="B25" t="s">
        <v>71</v>
      </c>
      <c r="C25" s="12" t="s">
        <v>149</v>
      </c>
      <c r="D25" s="19" t="s">
        <v>18</v>
      </c>
      <c r="E25" s="4" t="s">
        <v>79</v>
      </c>
      <c r="F25" s="12" t="s">
        <v>149</v>
      </c>
      <c r="G25" s="3">
        <v>500000</v>
      </c>
      <c r="H25" s="41">
        <v>44689</v>
      </c>
      <c r="I25" s="41">
        <v>46517</v>
      </c>
      <c r="J25" s="67">
        <v>6.3500000000000001E-2</v>
      </c>
      <c r="K25" s="1"/>
      <c r="M25" t="s">
        <v>71</v>
      </c>
      <c r="P25" s="3"/>
      <c r="Q25" s="3"/>
      <c r="R25"/>
      <c r="W25" s="1"/>
      <c r="X25" s="27"/>
      <c r="Y25" s="1"/>
      <c r="Z25" s="27"/>
      <c r="AA25"/>
      <c r="AB25" s="1"/>
      <c r="AC25" s="1"/>
      <c r="AE25" s="1"/>
      <c r="AH25" s="31"/>
      <c r="AI25" s="27"/>
      <c r="AR25" s="1"/>
      <c r="AS25" s="27"/>
      <c r="BC25" s="1">
        <v>8003</v>
      </c>
      <c r="BD25" s="27">
        <v>44781</v>
      </c>
      <c r="BL25" s="92">
        <v>8003</v>
      </c>
      <c r="BM25" s="93">
        <v>44873</v>
      </c>
      <c r="BN25" t="s">
        <v>215</v>
      </c>
      <c r="BU25" s="92">
        <v>8003</v>
      </c>
      <c r="BV25" s="93">
        <v>44965</v>
      </c>
      <c r="BW25" t="s">
        <v>215</v>
      </c>
      <c r="CD25" s="92">
        <v>7741</v>
      </c>
      <c r="CE25" s="93">
        <v>45054</v>
      </c>
      <c r="CF25" t="s">
        <v>215</v>
      </c>
      <c r="CH25" s="98"/>
      <c r="CI25" s="1"/>
      <c r="CN25" s="92">
        <v>8003</v>
      </c>
      <c r="CO25" s="93">
        <v>45146</v>
      </c>
      <c r="CP25" t="s">
        <v>215</v>
      </c>
      <c r="CW25" s="92">
        <v>8003</v>
      </c>
      <c r="CX25" s="93">
        <v>45238</v>
      </c>
      <c r="CY25" t="s">
        <v>215</v>
      </c>
      <c r="DF25" s="92">
        <v>7994</v>
      </c>
      <c r="DG25" s="93">
        <v>45330</v>
      </c>
      <c r="DH25" t="s">
        <v>215</v>
      </c>
      <c r="DO25" s="92">
        <v>7994</v>
      </c>
      <c r="DP25" s="93">
        <v>45420</v>
      </c>
      <c r="DQ25" t="s">
        <v>215</v>
      </c>
      <c r="DX25" s="29">
        <v>7981</v>
      </c>
      <c r="DY25" s="125">
        <v>45512</v>
      </c>
      <c r="DZ25" t="s">
        <v>215</v>
      </c>
      <c r="EG25" s="29">
        <v>7981</v>
      </c>
      <c r="EH25" s="93">
        <v>45604</v>
      </c>
      <c r="EI25" t="s">
        <v>215</v>
      </c>
      <c r="ES25" s="29">
        <v>7990</v>
      </c>
      <c r="ET25" s="95">
        <v>45696</v>
      </c>
      <c r="EU25" t="s">
        <v>215</v>
      </c>
      <c r="FB25" s="29">
        <v>7741</v>
      </c>
      <c r="FC25" s="95">
        <v>45785</v>
      </c>
      <c r="FD25" t="s">
        <v>215</v>
      </c>
      <c r="FF25" s="1"/>
      <c r="FH25" s="1"/>
      <c r="FK25" s="29">
        <v>8003</v>
      </c>
      <c r="FL25" s="95">
        <v>45877</v>
      </c>
      <c r="FM25" t="s">
        <v>215</v>
      </c>
      <c r="FT25" s="29">
        <v>8003</v>
      </c>
      <c r="FU25" s="95">
        <v>45969</v>
      </c>
      <c r="FV25" t="s">
        <v>215</v>
      </c>
      <c r="GC25" s="29">
        <v>8003</v>
      </c>
      <c r="GD25" s="125">
        <v>46061</v>
      </c>
      <c r="GE25" t="s">
        <v>215</v>
      </c>
      <c r="GL25" s="29">
        <v>7741</v>
      </c>
      <c r="GM25" s="125">
        <v>46150</v>
      </c>
      <c r="GN25" t="s">
        <v>215</v>
      </c>
      <c r="GU25" s="29">
        <v>8003</v>
      </c>
      <c r="GV25" s="95">
        <v>46242</v>
      </c>
      <c r="GW25" t="s">
        <v>215</v>
      </c>
    </row>
    <row r="26" spans="2:208" x14ac:dyDescent="0.25">
      <c r="B26" t="s">
        <v>71</v>
      </c>
      <c r="C26" s="12" t="s">
        <v>172</v>
      </c>
      <c r="D26" s="19" t="s">
        <v>18</v>
      </c>
      <c r="E26" s="4" t="s">
        <v>79</v>
      </c>
      <c r="F26" s="12" t="s">
        <v>172</v>
      </c>
      <c r="G26" s="3">
        <v>200000</v>
      </c>
      <c r="H26" s="41">
        <v>44739</v>
      </c>
      <c r="I26" s="41">
        <v>46567</v>
      </c>
      <c r="J26" s="67">
        <v>6.5000000000000002E-2</v>
      </c>
      <c r="K26" s="1">
        <v>3277</v>
      </c>
      <c r="M26" t="s">
        <v>71</v>
      </c>
      <c r="P26" s="3"/>
      <c r="Q26" s="3"/>
      <c r="R26"/>
      <c r="W26" s="1"/>
      <c r="X26" s="27"/>
      <c r="Y26" s="1"/>
      <c r="Z26" s="27"/>
      <c r="AA26"/>
      <c r="AB26" s="1"/>
      <c r="AC26" s="1"/>
      <c r="AE26" s="1"/>
      <c r="AH26" s="31"/>
      <c r="AI26" s="27"/>
      <c r="AR26" s="1"/>
      <c r="AS26" s="27"/>
      <c r="BF26" s="1">
        <v>3277</v>
      </c>
      <c r="BG26" s="89">
        <v>44831</v>
      </c>
      <c r="BO26" s="92">
        <v>3241</v>
      </c>
      <c r="BP26" s="93">
        <v>44922</v>
      </c>
      <c r="BX26" s="92">
        <v>3205</v>
      </c>
      <c r="BY26" s="93">
        <v>45012</v>
      </c>
      <c r="BZ26" t="s">
        <v>215</v>
      </c>
      <c r="CH26" s="92">
        <v>3277</v>
      </c>
      <c r="CI26" s="93">
        <v>45104</v>
      </c>
      <c r="CJ26" t="s">
        <v>215</v>
      </c>
      <c r="CQ26" s="92">
        <v>3277</v>
      </c>
      <c r="CR26" s="93">
        <v>45196</v>
      </c>
      <c r="CS26" t="s">
        <v>215</v>
      </c>
      <c r="CZ26" s="92">
        <v>3241</v>
      </c>
      <c r="DA26" s="93">
        <v>45287</v>
      </c>
      <c r="DB26" t="s">
        <v>215</v>
      </c>
      <c r="DI26" s="92">
        <v>3233</v>
      </c>
      <c r="DJ26" s="93">
        <v>45378</v>
      </c>
      <c r="DK26" t="s">
        <v>215</v>
      </c>
      <c r="DR26" s="92">
        <v>3268</v>
      </c>
      <c r="DS26" s="93">
        <v>45470</v>
      </c>
      <c r="DT26" t="s">
        <v>215</v>
      </c>
      <c r="EA26" s="29">
        <v>3268</v>
      </c>
      <c r="EB26" s="125">
        <v>45562</v>
      </c>
      <c r="EC26" t="s">
        <v>215</v>
      </c>
      <c r="EJ26" s="29">
        <v>3232</v>
      </c>
      <c r="EK26" s="93">
        <v>45653</v>
      </c>
      <c r="EL26" t="s">
        <v>215</v>
      </c>
      <c r="EV26" s="29">
        <v>3205</v>
      </c>
      <c r="EW26" s="95">
        <v>45743</v>
      </c>
      <c r="EX26" t="s">
        <v>215</v>
      </c>
      <c r="FE26" s="29">
        <v>3277</v>
      </c>
      <c r="FF26" s="95">
        <v>45835</v>
      </c>
      <c r="FG26" t="s">
        <v>215</v>
      </c>
      <c r="FH26" s="1"/>
      <c r="FN26" s="29">
        <v>3277</v>
      </c>
      <c r="FO26" s="95">
        <v>45927</v>
      </c>
      <c r="FP26" t="s">
        <v>215</v>
      </c>
      <c r="FW26" s="29">
        <v>3241</v>
      </c>
      <c r="FX26" s="95">
        <v>46018</v>
      </c>
      <c r="FY26" t="s">
        <v>215</v>
      </c>
      <c r="GF26" s="29">
        <v>3205</v>
      </c>
      <c r="GG26" s="95">
        <v>46108</v>
      </c>
      <c r="GH26" t="s">
        <v>215</v>
      </c>
      <c r="GO26" s="29">
        <v>3277</v>
      </c>
      <c r="GP26" s="95">
        <v>46200</v>
      </c>
      <c r="GQ26" t="s">
        <v>215</v>
      </c>
      <c r="GX26" s="90">
        <v>3277</v>
      </c>
      <c r="GY26" s="88">
        <v>46292</v>
      </c>
      <c r="GZ26" t="s">
        <v>215</v>
      </c>
    </row>
    <row r="27" spans="2:208" x14ac:dyDescent="0.25">
      <c r="B27" t="s">
        <v>71</v>
      </c>
      <c r="C27" s="73" t="s">
        <v>191</v>
      </c>
      <c r="D27" s="73" t="s">
        <v>18</v>
      </c>
      <c r="E27" s="73" t="s">
        <v>190</v>
      </c>
      <c r="F27" s="73" t="s">
        <v>191</v>
      </c>
      <c r="G27" s="35">
        <v>200000</v>
      </c>
      <c r="H27" s="49">
        <v>44804</v>
      </c>
      <c r="I27" s="49">
        <v>46267</v>
      </c>
      <c r="J27" s="67">
        <v>6.6000000000000003E-2</v>
      </c>
      <c r="K27" s="1">
        <v>3277</v>
      </c>
      <c r="L27" s="38" t="s">
        <v>146</v>
      </c>
      <c r="M27" t="s">
        <v>71</v>
      </c>
      <c r="P27" s="3"/>
      <c r="Q27" s="3"/>
      <c r="R27"/>
      <c r="W27" s="1"/>
      <c r="X27" s="27"/>
      <c r="Y27" s="1"/>
      <c r="Z27" s="27"/>
      <c r="AA27"/>
      <c r="AB27" s="1"/>
      <c r="AC27" s="1"/>
      <c r="AE27" s="1"/>
      <c r="AH27" s="31"/>
      <c r="AI27" s="27"/>
      <c r="AR27" s="1"/>
      <c r="AS27" s="27"/>
      <c r="BL27" s="92">
        <v>3291</v>
      </c>
      <c r="BM27" s="93">
        <v>44895</v>
      </c>
      <c r="BU27" s="92">
        <v>3291</v>
      </c>
      <c r="BV27" s="93">
        <v>44985</v>
      </c>
      <c r="BW27" t="s">
        <v>215</v>
      </c>
      <c r="CD27" s="92">
        <v>3327</v>
      </c>
      <c r="CE27" s="93">
        <v>45077</v>
      </c>
      <c r="CF27" t="s">
        <v>215</v>
      </c>
      <c r="CN27" s="92">
        <v>3327</v>
      </c>
      <c r="CO27" s="93">
        <v>45169</v>
      </c>
      <c r="CP27" t="s">
        <v>215</v>
      </c>
      <c r="CW27" s="92">
        <v>3291</v>
      </c>
      <c r="CX27" s="93">
        <v>45260</v>
      </c>
      <c r="CY27" t="s">
        <v>215</v>
      </c>
      <c r="DA27" s="1"/>
      <c r="DF27" s="92">
        <v>3285</v>
      </c>
      <c r="DG27" s="93">
        <v>45351</v>
      </c>
      <c r="DH27" t="s">
        <v>215</v>
      </c>
      <c r="DO27" s="92">
        <v>3318</v>
      </c>
      <c r="DP27" s="93" t="s">
        <v>247</v>
      </c>
      <c r="DQ27" t="s">
        <v>215</v>
      </c>
      <c r="DX27" s="29">
        <v>3318</v>
      </c>
      <c r="DY27" s="125" t="s">
        <v>253</v>
      </c>
      <c r="DZ27" t="s">
        <v>215</v>
      </c>
      <c r="EG27" s="29">
        <v>3282</v>
      </c>
      <c r="EH27" s="93">
        <v>45626</v>
      </c>
      <c r="EI27" t="s">
        <v>215</v>
      </c>
      <c r="ES27" s="29">
        <v>3252</v>
      </c>
      <c r="ET27" s="95">
        <v>45716</v>
      </c>
      <c r="EU27" t="s">
        <v>215</v>
      </c>
      <c r="FB27" s="29">
        <v>3327</v>
      </c>
      <c r="FC27" s="95">
        <v>45808</v>
      </c>
      <c r="FD27" t="s">
        <v>215</v>
      </c>
      <c r="FF27" s="1"/>
      <c r="FK27" s="29">
        <v>3327</v>
      </c>
      <c r="FL27" s="95">
        <v>45900</v>
      </c>
      <c r="FM27" t="s">
        <v>215</v>
      </c>
      <c r="FT27" s="29">
        <v>3291</v>
      </c>
      <c r="FU27" s="95">
        <v>45991</v>
      </c>
      <c r="FV27" t="s">
        <v>215</v>
      </c>
      <c r="GC27" s="29">
        <v>3255</v>
      </c>
      <c r="GD27" s="125">
        <v>46081</v>
      </c>
      <c r="GE27" t="s">
        <v>215</v>
      </c>
      <c r="GL27" s="29">
        <v>3327</v>
      </c>
      <c r="GM27" s="125">
        <v>46173</v>
      </c>
      <c r="GN27" t="s">
        <v>215</v>
      </c>
      <c r="GU27" s="136">
        <v>3327</v>
      </c>
      <c r="GV27" s="137">
        <v>46265</v>
      </c>
      <c r="GW27" s="26" t="s">
        <v>146</v>
      </c>
    </row>
    <row r="28" spans="2:208" x14ac:dyDescent="0.25">
      <c r="B28" t="s">
        <v>20</v>
      </c>
      <c r="C28" s="12" t="s">
        <v>219</v>
      </c>
      <c r="D28" s="19" t="s">
        <v>18</v>
      </c>
      <c r="E28" s="4" t="s">
        <v>79</v>
      </c>
      <c r="F28" s="12" t="s">
        <v>219</v>
      </c>
      <c r="G28" s="3">
        <v>400000</v>
      </c>
      <c r="H28" s="41">
        <v>44942</v>
      </c>
      <c r="I28" s="41">
        <v>46770</v>
      </c>
      <c r="J28" s="67">
        <v>7.6999999999999999E-2</v>
      </c>
      <c r="K28" s="1">
        <v>2532</v>
      </c>
      <c r="M28" t="s">
        <v>20</v>
      </c>
      <c r="P28" s="3"/>
      <c r="Q28" s="3"/>
      <c r="R28"/>
      <c r="W28" s="1"/>
      <c r="X28" s="27"/>
      <c r="Y28" s="1"/>
      <c r="Z28" s="27"/>
      <c r="AA28"/>
      <c r="AB28" s="1"/>
      <c r="AC28" s="1"/>
      <c r="AE28" s="1"/>
      <c r="AH28" s="31"/>
      <c r="AI28" s="27"/>
      <c r="AR28" s="1"/>
      <c r="AS28" s="27"/>
      <c r="BU28" s="92">
        <v>2616</v>
      </c>
      <c r="BV28" s="93">
        <v>44973</v>
      </c>
      <c r="BX28" s="92">
        <v>2616</v>
      </c>
      <c r="BY28" s="93">
        <v>45001</v>
      </c>
      <c r="CA28" s="92">
        <v>2616</v>
      </c>
      <c r="CB28" s="93">
        <v>45032</v>
      </c>
      <c r="CD28" s="92">
        <v>2532</v>
      </c>
      <c r="CE28" s="93">
        <v>45062</v>
      </c>
      <c r="CG28" s="1"/>
      <c r="CH28" s="92">
        <v>2616</v>
      </c>
      <c r="CI28" s="93">
        <v>45093</v>
      </c>
      <c r="CK28" s="92">
        <v>2532</v>
      </c>
      <c r="CL28" s="93">
        <v>45123</v>
      </c>
      <c r="CN28" s="92">
        <v>2616</v>
      </c>
      <c r="CO28" s="93">
        <v>45154</v>
      </c>
      <c r="CQ28" s="92">
        <v>2532</v>
      </c>
      <c r="CR28" s="93">
        <v>45185</v>
      </c>
      <c r="CT28" s="92">
        <v>2532</v>
      </c>
      <c r="CU28" s="93">
        <v>45215</v>
      </c>
      <c r="CW28" s="92">
        <v>2616</v>
      </c>
      <c r="CX28" s="93">
        <v>45246</v>
      </c>
      <c r="CZ28" s="92">
        <v>2532</v>
      </c>
      <c r="DA28" s="93">
        <v>45276</v>
      </c>
      <c r="DC28" s="92">
        <v>2612</v>
      </c>
      <c r="DD28" s="93">
        <v>45307</v>
      </c>
      <c r="DF28" s="92">
        <v>2609</v>
      </c>
      <c r="DG28" s="93">
        <v>45338</v>
      </c>
      <c r="DI28" s="92">
        <v>2440</v>
      </c>
      <c r="DJ28" s="93">
        <v>45367</v>
      </c>
      <c r="DL28" s="92">
        <v>2608</v>
      </c>
      <c r="DM28" s="93">
        <v>45398</v>
      </c>
      <c r="DO28" s="92">
        <v>2525</v>
      </c>
      <c r="DP28" s="93">
        <v>45428</v>
      </c>
      <c r="DR28" s="92">
        <v>2609</v>
      </c>
      <c r="DS28" s="93">
        <v>45459</v>
      </c>
      <c r="DU28" s="92">
        <v>2525</v>
      </c>
      <c r="DV28" s="93">
        <v>45489</v>
      </c>
      <c r="DX28" s="29">
        <v>2609</v>
      </c>
      <c r="DY28" s="125">
        <v>45520</v>
      </c>
      <c r="EA28" s="29">
        <v>2609</v>
      </c>
      <c r="EB28" s="125">
        <v>45551</v>
      </c>
      <c r="ED28" s="29">
        <v>2525</v>
      </c>
      <c r="EE28" s="93">
        <v>45581</v>
      </c>
      <c r="EG28" s="29">
        <v>2609</v>
      </c>
      <c r="EH28" s="93">
        <v>45612</v>
      </c>
      <c r="EJ28" s="29">
        <v>2525</v>
      </c>
      <c r="EK28" s="93">
        <v>45642</v>
      </c>
      <c r="EM28" s="131"/>
      <c r="EP28" s="29">
        <v>2612</v>
      </c>
      <c r="EQ28" s="95">
        <v>45673</v>
      </c>
      <c r="ES28" s="29">
        <v>2616</v>
      </c>
      <c r="ET28" s="95">
        <v>45704</v>
      </c>
      <c r="EV28" s="29">
        <v>2363</v>
      </c>
      <c r="EW28" s="95">
        <v>45732</v>
      </c>
      <c r="EY28" s="29">
        <v>2616</v>
      </c>
      <c r="EZ28" s="95">
        <v>45763</v>
      </c>
      <c r="FB28" s="29">
        <v>2532</v>
      </c>
      <c r="FC28" s="95">
        <v>45793</v>
      </c>
      <c r="FE28" s="29">
        <v>2616</v>
      </c>
      <c r="FF28" s="95">
        <v>45824</v>
      </c>
      <c r="FH28" s="29">
        <v>2532</v>
      </c>
      <c r="FI28" s="95">
        <v>45854</v>
      </c>
      <c r="FK28" s="29">
        <v>2616</v>
      </c>
      <c r="FL28" s="95">
        <v>45885</v>
      </c>
      <c r="FN28" s="29">
        <v>2616</v>
      </c>
      <c r="FO28" s="95">
        <v>45916</v>
      </c>
      <c r="FQ28" s="29">
        <v>2532</v>
      </c>
      <c r="FR28" s="95">
        <v>45946</v>
      </c>
      <c r="FT28" s="29">
        <v>2532</v>
      </c>
      <c r="FU28" s="95">
        <v>45977</v>
      </c>
      <c r="FW28" s="29">
        <v>2532</v>
      </c>
      <c r="FX28" s="95">
        <v>46007</v>
      </c>
      <c r="FY28" t="s">
        <v>20</v>
      </c>
      <c r="FZ28" s="29">
        <v>2616</v>
      </c>
      <c r="GA28" s="95">
        <v>46038</v>
      </c>
      <c r="GB28" t="s">
        <v>20</v>
      </c>
      <c r="GC28" s="29">
        <v>2616</v>
      </c>
      <c r="GD28" s="95">
        <v>46069</v>
      </c>
      <c r="GE28" t="s">
        <v>20</v>
      </c>
      <c r="GF28" s="29">
        <v>2363</v>
      </c>
      <c r="GG28" s="95">
        <v>46097</v>
      </c>
      <c r="GH28" t="s">
        <v>20</v>
      </c>
      <c r="GI28" s="29">
        <v>2616</v>
      </c>
      <c r="GJ28" s="95">
        <v>46128</v>
      </c>
      <c r="GK28" t="s">
        <v>20</v>
      </c>
      <c r="GL28" s="29">
        <v>2532</v>
      </c>
      <c r="GM28" s="125">
        <v>46158</v>
      </c>
      <c r="GN28" t="s">
        <v>20</v>
      </c>
      <c r="GO28" s="29">
        <v>2616</v>
      </c>
      <c r="GP28" s="95">
        <v>46189</v>
      </c>
      <c r="GQ28" t="s">
        <v>20</v>
      </c>
      <c r="GR28" s="29">
        <v>2532</v>
      </c>
      <c r="GS28" s="95">
        <v>46219</v>
      </c>
      <c r="GT28" t="s">
        <v>20</v>
      </c>
      <c r="GU28" s="29">
        <v>2616</v>
      </c>
      <c r="GV28" s="95">
        <v>46250</v>
      </c>
      <c r="GW28" t="s">
        <v>20</v>
      </c>
      <c r="GX28" s="90">
        <v>2616</v>
      </c>
      <c r="GY28" s="88">
        <v>46281</v>
      </c>
      <c r="GZ28" t="s">
        <v>20</v>
      </c>
    </row>
    <row r="29" spans="2:208" x14ac:dyDescent="0.25">
      <c r="B29" t="s">
        <v>71</v>
      </c>
      <c r="C29" s="73" t="s">
        <v>222</v>
      </c>
      <c r="D29" s="73" t="s">
        <v>18</v>
      </c>
      <c r="E29" s="73" t="s">
        <v>221</v>
      </c>
      <c r="F29" s="73" t="s">
        <v>222</v>
      </c>
      <c r="G29" s="35">
        <v>200000</v>
      </c>
      <c r="H29" s="49">
        <v>44956</v>
      </c>
      <c r="I29" s="49">
        <v>46054</v>
      </c>
      <c r="J29" s="67">
        <v>7.4999999999999997E-2</v>
      </c>
      <c r="K29" s="1">
        <v>3750</v>
      </c>
      <c r="M29" t="s">
        <v>71</v>
      </c>
      <c r="P29" s="3"/>
      <c r="Q29" s="3"/>
      <c r="R29"/>
      <c r="W29" s="1"/>
      <c r="X29" s="27"/>
      <c r="Y29" s="1"/>
      <c r="Z29" s="27"/>
      <c r="AA29"/>
      <c r="AB29" s="1"/>
      <c r="AC29" s="1"/>
      <c r="AE29" s="1"/>
      <c r="AH29" s="31"/>
      <c r="AI29" s="27"/>
      <c r="AR29" s="1"/>
      <c r="AS29" s="27"/>
      <c r="BU29" s="1"/>
      <c r="CA29" s="92">
        <v>3699</v>
      </c>
      <c r="CB29" s="93">
        <v>45046</v>
      </c>
      <c r="CC29" t="s">
        <v>215</v>
      </c>
      <c r="CK29" s="92">
        <v>3740</v>
      </c>
      <c r="CL29" s="93">
        <v>45137</v>
      </c>
      <c r="CM29" t="s">
        <v>215</v>
      </c>
      <c r="CT29" s="92">
        <v>3781</v>
      </c>
      <c r="CU29" s="93">
        <v>45229</v>
      </c>
      <c r="CV29" t="s">
        <v>215</v>
      </c>
      <c r="DC29" s="92">
        <v>3781</v>
      </c>
      <c r="DD29" s="93">
        <v>45321</v>
      </c>
      <c r="DE29" t="s">
        <v>215</v>
      </c>
      <c r="DL29" s="92">
        <v>3730</v>
      </c>
      <c r="DM29" s="93">
        <v>45412</v>
      </c>
      <c r="DN29" t="s">
        <v>215</v>
      </c>
      <c r="DU29" s="92">
        <v>3730</v>
      </c>
      <c r="DV29" s="93">
        <v>45503</v>
      </c>
      <c r="DW29" t="s">
        <v>215</v>
      </c>
      <c r="ED29" s="29">
        <v>3770</v>
      </c>
      <c r="EE29" s="93">
        <v>45595</v>
      </c>
      <c r="EF29" t="s">
        <v>215</v>
      </c>
      <c r="EP29" s="29">
        <v>3774</v>
      </c>
      <c r="EQ29" s="95">
        <v>45687</v>
      </c>
      <c r="ER29" t="s">
        <v>215</v>
      </c>
      <c r="EY29" s="29">
        <v>3774</v>
      </c>
      <c r="EZ29" s="95">
        <v>45777</v>
      </c>
      <c r="FA29" t="s">
        <v>215</v>
      </c>
      <c r="FH29" s="29">
        <v>3740</v>
      </c>
      <c r="FI29" s="95">
        <v>45868</v>
      </c>
      <c r="FJ29" t="s">
        <v>215</v>
      </c>
      <c r="FQ29" s="29">
        <v>3781</v>
      </c>
      <c r="FR29" s="95">
        <v>45960</v>
      </c>
      <c r="FS29" t="s">
        <v>215</v>
      </c>
      <c r="FZ29" s="29">
        <v>3781</v>
      </c>
      <c r="GA29" s="95">
        <v>46052</v>
      </c>
      <c r="GB29" t="s">
        <v>215</v>
      </c>
    </row>
    <row r="30" spans="2:208" x14ac:dyDescent="0.25">
      <c r="B30" t="s">
        <v>71</v>
      </c>
      <c r="C30" s="12" t="s">
        <v>242</v>
      </c>
      <c r="D30" s="19" t="s">
        <v>18</v>
      </c>
      <c r="E30" s="4" t="s">
        <v>79</v>
      </c>
      <c r="F30" s="12" t="s">
        <v>242</v>
      </c>
      <c r="G30" s="3">
        <v>200000</v>
      </c>
      <c r="H30" s="41">
        <v>45161</v>
      </c>
      <c r="I30" s="41">
        <v>46989</v>
      </c>
      <c r="J30" s="67">
        <v>7.7499999999999999E-2</v>
      </c>
      <c r="K30" s="1">
        <v>3907</v>
      </c>
      <c r="M30" t="s">
        <v>71</v>
      </c>
      <c r="N30" s="24" t="s">
        <v>243</v>
      </c>
      <c r="P30" s="3"/>
      <c r="Q30" s="3"/>
      <c r="R30"/>
      <c r="W30" s="1"/>
      <c r="X30" s="27"/>
      <c r="Y30" s="1"/>
      <c r="Z30" s="27"/>
      <c r="AA30"/>
      <c r="AB30" s="1"/>
      <c r="AC30" s="1"/>
      <c r="AE30" s="1"/>
      <c r="AH30" s="31"/>
      <c r="AI30" s="27"/>
      <c r="AR30" s="1"/>
      <c r="AS30" s="27"/>
      <c r="BU30" s="1"/>
      <c r="CA30" s="92"/>
      <c r="CB30" s="93"/>
      <c r="CK30" s="92"/>
      <c r="CL30" s="93"/>
      <c r="CW30" s="92">
        <v>3907</v>
      </c>
      <c r="CX30" s="93">
        <v>45253</v>
      </c>
      <c r="CY30" t="s">
        <v>244</v>
      </c>
      <c r="DF30" s="92">
        <v>3901</v>
      </c>
      <c r="DG30" s="93">
        <v>45345</v>
      </c>
      <c r="DH30" t="s">
        <v>215</v>
      </c>
      <c r="DO30" s="92">
        <v>3811</v>
      </c>
      <c r="DP30" s="93">
        <v>45435</v>
      </c>
      <c r="DQ30" t="s">
        <v>215</v>
      </c>
      <c r="DX30" s="29">
        <v>3896</v>
      </c>
      <c r="DY30" s="125">
        <v>45527</v>
      </c>
      <c r="DZ30" t="s">
        <v>215</v>
      </c>
      <c r="EG30" s="29">
        <v>3896</v>
      </c>
      <c r="EH30" s="93">
        <v>45619</v>
      </c>
      <c r="EI30" t="s">
        <v>215</v>
      </c>
      <c r="ES30" s="29">
        <v>3902</v>
      </c>
      <c r="ET30" s="95">
        <v>45711</v>
      </c>
      <c r="EU30" t="s">
        <v>215</v>
      </c>
      <c r="FB30" s="29">
        <v>3779</v>
      </c>
      <c r="FC30" s="95">
        <v>45800</v>
      </c>
      <c r="FD30" t="s">
        <v>215</v>
      </c>
      <c r="FE30" s="1"/>
      <c r="FK30" s="29">
        <v>3907</v>
      </c>
      <c r="FL30" s="95">
        <v>45892</v>
      </c>
      <c r="FM30" t="s">
        <v>215</v>
      </c>
      <c r="FT30" s="29">
        <v>3907</v>
      </c>
      <c r="FU30" s="95">
        <v>45984</v>
      </c>
      <c r="FV30" t="s">
        <v>215</v>
      </c>
      <c r="GC30" s="29">
        <v>3907</v>
      </c>
      <c r="GD30" s="125">
        <v>46076</v>
      </c>
      <c r="GE30" t="s">
        <v>215</v>
      </c>
      <c r="GL30" s="29">
        <v>3779</v>
      </c>
      <c r="GM30" s="125">
        <v>46165</v>
      </c>
      <c r="GN30" t="s">
        <v>215</v>
      </c>
      <c r="GU30" s="29">
        <v>3907</v>
      </c>
      <c r="GV30" s="95">
        <v>46257</v>
      </c>
      <c r="GW30" t="s">
        <v>215</v>
      </c>
    </row>
    <row r="31" spans="2:208" x14ac:dyDescent="0.25">
      <c r="B31" t="s">
        <v>273</v>
      </c>
      <c r="C31" s="73" t="s">
        <v>274</v>
      </c>
      <c r="D31" s="73" t="s">
        <v>18</v>
      </c>
      <c r="E31" s="73" t="s">
        <v>275</v>
      </c>
      <c r="F31" s="73" t="s">
        <v>274</v>
      </c>
      <c r="G31" s="35">
        <v>100000</v>
      </c>
      <c r="H31" s="49">
        <v>45799</v>
      </c>
      <c r="I31" s="49">
        <v>45985</v>
      </c>
      <c r="J31" s="67">
        <v>6.25E-2</v>
      </c>
      <c r="K31" s="1">
        <v>103210</v>
      </c>
      <c r="L31" s="38" t="s">
        <v>146</v>
      </c>
      <c r="M31" t="s">
        <v>273</v>
      </c>
      <c r="N31" s="24"/>
      <c r="P31" s="3"/>
      <c r="Q31" s="3"/>
      <c r="R31"/>
      <c r="W31" s="1"/>
      <c r="X31" s="27"/>
      <c r="Y31" s="1"/>
      <c r="Z31" s="27"/>
      <c r="AA31"/>
      <c r="AB31" s="1"/>
      <c r="AC31" s="1"/>
      <c r="AE31" s="1"/>
      <c r="AH31" s="31"/>
      <c r="AI31" s="27"/>
      <c r="AR31" s="1"/>
      <c r="AS31" s="27"/>
      <c r="BU31" s="1"/>
      <c r="CA31" s="92"/>
      <c r="CB31" s="93"/>
      <c r="CK31" s="92"/>
      <c r="CL31" s="93"/>
      <c r="CW31" s="92"/>
      <c r="CX31" s="93"/>
      <c r="DF31" s="92"/>
      <c r="DG31" s="93"/>
      <c r="DO31" s="92"/>
      <c r="DP31" s="93"/>
      <c r="DX31" s="29"/>
      <c r="DY31" s="125"/>
      <c r="EG31" s="29"/>
      <c r="EH31" s="93"/>
      <c r="ES31" s="29"/>
      <c r="ET31" s="95"/>
    </row>
    <row r="32" spans="2:208" ht="15.75" x14ac:dyDescent="0.25">
      <c r="C32" s="76" t="s">
        <v>122</v>
      </c>
      <c r="E32" s="4"/>
      <c r="F32" s="76" t="s">
        <v>122</v>
      </c>
      <c r="G32" s="77">
        <f>SUM(G24:G26,G28,G30)</f>
        <v>1800000</v>
      </c>
      <c r="H32" s="41"/>
      <c r="I32" s="41"/>
      <c r="J32" s="67"/>
      <c r="K32" s="1"/>
      <c r="P32" s="3"/>
      <c r="Q32" s="3"/>
      <c r="R32"/>
      <c r="W32" s="1"/>
      <c r="X32" s="27"/>
      <c r="Y32" s="1"/>
      <c r="Z32" s="27"/>
      <c r="AA32"/>
      <c r="AB32" s="1"/>
      <c r="AC32" s="1"/>
      <c r="AE32" s="1"/>
      <c r="AH32" s="31"/>
      <c r="AI32" s="27"/>
      <c r="AR32" s="1"/>
      <c r="AS32" s="27"/>
      <c r="AZ32" s="1">
        <v>1157</v>
      </c>
      <c r="BA32" s="27">
        <v>44743</v>
      </c>
      <c r="BB32" t="s">
        <v>140</v>
      </c>
      <c r="BC32" s="1">
        <v>-658.9</v>
      </c>
      <c r="BD32" s="27">
        <v>44785</v>
      </c>
      <c r="BF32" s="73"/>
      <c r="BI32" s="1">
        <v>522</v>
      </c>
      <c r="BJ32" t="s">
        <v>171</v>
      </c>
      <c r="BK32" s="89">
        <v>44835</v>
      </c>
      <c r="BU32" s="1"/>
      <c r="CN32" s="111">
        <v>-5544.2</v>
      </c>
      <c r="CO32" s="27">
        <v>45146</v>
      </c>
      <c r="CP32" s="26" t="s">
        <v>238</v>
      </c>
      <c r="CT32" s="92">
        <v>330</v>
      </c>
      <c r="CU32" s="93">
        <v>45200</v>
      </c>
      <c r="CV32" t="s">
        <v>140</v>
      </c>
      <c r="DC32" s="92">
        <v>245</v>
      </c>
      <c r="DD32" s="93">
        <v>45292</v>
      </c>
      <c r="DE32" t="s">
        <v>140</v>
      </c>
      <c r="DI32" s="92">
        <v>249</v>
      </c>
      <c r="DJ32" s="93">
        <v>45383</v>
      </c>
      <c r="DK32" t="s">
        <v>140</v>
      </c>
      <c r="DR32" s="29">
        <v>333</v>
      </c>
      <c r="DS32" s="93">
        <v>45474</v>
      </c>
      <c r="DT32" t="s">
        <v>140</v>
      </c>
      <c r="EP32" s="29">
        <v>331</v>
      </c>
      <c r="EQ32" s="95">
        <v>45658</v>
      </c>
      <c r="ER32" t="s">
        <v>260</v>
      </c>
      <c r="EY32" s="29">
        <v>399</v>
      </c>
      <c r="EZ32" s="95">
        <v>45748</v>
      </c>
      <c r="FA32" t="s">
        <v>140</v>
      </c>
      <c r="FH32" s="29">
        <v>354</v>
      </c>
      <c r="FI32" s="95">
        <v>45839</v>
      </c>
      <c r="FJ32" t="s">
        <v>140</v>
      </c>
      <c r="FQ32" s="29">
        <v>232</v>
      </c>
      <c r="FR32" s="95">
        <v>45931</v>
      </c>
      <c r="FS32" t="s">
        <v>140</v>
      </c>
      <c r="FZ32" s="29">
        <v>342</v>
      </c>
      <c r="GA32" s="95">
        <v>46023</v>
      </c>
      <c r="GB32" t="s">
        <v>171</v>
      </c>
    </row>
    <row r="33" spans="2:208" x14ac:dyDescent="0.25">
      <c r="K33" s="1"/>
      <c r="R33"/>
      <c r="W33" s="1"/>
      <c r="X33" s="27"/>
      <c r="Y33" s="1"/>
      <c r="Z33" s="27"/>
      <c r="AE33" s="1"/>
      <c r="AR33" s="1"/>
      <c r="AS33" s="27"/>
    </row>
    <row r="34" spans="2:208" x14ac:dyDescent="0.25">
      <c r="C34" s="73" t="s">
        <v>22</v>
      </c>
      <c r="D34" s="73" t="s">
        <v>23</v>
      </c>
      <c r="E34" s="73" t="s">
        <v>17</v>
      </c>
      <c r="F34" s="73" t="s">
        <v>22</v>
      </c>
      <c r="G34" s="72">
        <v>1000000</v>
      </c>
      <c r="H34" s="74" t="s">
        <v>24</v>
      </c>
      <c r="I34" s="75" t="s">
        <v>25</v>
      </c>
      <c r="J34" s="67">
        <v>6.7500000000000004E-2</v>
      </c>
      <c r="K34" s="1">
        <v>5593</v>
      </c>
      <c r="L34" s="38" t="s">
        <v>146</v>
      </c>
      <c r="M34" t="s">
        <v>20</v>
      </c>
      <c r="P34" s="1">
        <f>K34</f>
        <v>5593</v>
      </c>
      <c r="Q34" s="1"/>
      <c r="R34" t="s">
        <v>20</v>
      </c>
      <c r="S34" s="1">
        <v>5593</v>
      </c>
      <c r="T34" s="27">
        <v>44419</v>
      </c>
      <c r="U34" s="1">
        <v>5593</v>
      </c>
      <c r="V34" s="27">
        <v>44449</v>
      </c>
      <c r="W34" s="1">
        <v>5593</v>
      </c>
      <c r="X34" s="27">
        <v>44480</v>
      </c>
      <c r="Y34" s="1">
        <v>5593</v>
      </c>
      <c r="Z34" s="27">
        <v>44511</v>
      </c>
      <c r="AA34" s="6" t="s">
        <v>138</v>
      </c>
      <c r="AB34" s="1">
        <v>5593</v>
      </c>
      <c r="AC34" s="27">
        <v>44540</v>
      </c>
      <c r="AE34" s="1">
        <v>5593</v>
      </c>
      <c r="AF34" s="27">
        <v>44572</v>
      </c>
      <c r="AG34" s="1"/>
      <c r="AH34" s="1">
        <v>5593</v>
      </c>
      <c r="AI34" s="27">
        <v>44603</v>
      </c>
      <c r="AL34" s="1">
        <v>5593</v>
      </c>
      <c r="AM34" s="27">
        <v>44631</v>
      </c>
      <c r="AO34" s="1">
        <v>5593</v>
      </c>
      <c r="AP34" s="27">
        <v>44662</v>
      </c>
      <c r="AQ34" s="1"/>
      <c r="AR34" s="1">
        <f>5593+184</f>
        <v>5777</v>
      </c>
      <c r="AS34" s="27">
        <v>44692</v>
      </c>
      <c r="AT34" s="26" t="s">
        <v>147</v>
      </c>
      <c r="AZ34" s="1"/>
      <c r="BA34" s="27"/>
    </row>
    <row r="35" spans="2:208" x14ac:dyDescent="0.25">
      <c r="B35" t="s">
        <v>20</v>
      </c>
      <c r="C35" s="73" t="s">
        <v>127</v>
      </c>
      <c r="D35" s="73" t="s">
        <v>23</v>
      </c>
      <c r="E35" s="73" t="s">
        <v>17</v>
      </c>
      <c r="F35" s="73" t="s">
        <v>127</v>
      </c>
      <c r="G35" s="72">
        <v>500000</v>
      </c>
      <c r="H35" s="74" t="s">
        <v>130</v>
      </c>
      <c r="I35" s="75" t="s">
        <v>128</v>
      </c>
      <c r="J35" s="67">
        <v>6.5000000000000002E-2</v>
      </c>
      <c r="K35" s="1">
        <v>2694</v>
      </c>
      <c r="L35" s="30"/>
      <c r="M35" t="s">
        <v>20</v>
      </c>
      <c r="P35" s="1">
        <f>K35</f>
        <v>2694</v>
      </c>
      <c r="Q35" s="1"/>
      <c r="R35" t="s">
        <v>20</v>
      </c>
      <c r="S35" s="1">
        <v>2694</v>
      </c>
      <c r="T35" s="27">
        <v>44412</v>
      </c>
      <c r="U35" s="1">
        <v>2694</v>
      </c>
      <c r="V35" s="27">
        <v>44443</v>
      </c>
      <c r="W35" s="1">
        <v>2694</v>
      </c>
      <c r="X35" s="27">
        <v>44473</v>
      </c>
      <c r="Y35" s="1">
        <v>2694</v>
      </c>
      <c r="Z35" s="27">
        <v>44503</v>
      </c>
      <c r="AA35" s="6" t="s">
        <v>138</v>
      </c>
      <c r="AB35" s="1">
        <v>2694</v>
      </c>
      <c r="AC35" s="27">
        <v>44534</v>
      </c>
      <c r="AE35" s="1">
        <v>2694</v>
      </c>
      <c r="AF35" s="27">
        <v>44565</v>
      </c>
      <c r="AH35" s="1">
        <v>2694</v>
      </c>
      <c r="AI35" s="27">
        <v>44596</v>
      </c>
      <c r="AL35" s="1">
        <v>2694</v>
      </c>
      <c r="AM35" s="27">
        <v>44624</v>
      </c>
      <c r="AO35" s="1">
        <v>2694</v>
      </c>
      <c r="AP35" s="27">
        <v>44655</v>
      </c>
      <c r="AR35" s="1">
        <v>2694</v>
      </c>
      <c r="AS35" s="27">
        <v>44685</v>
      </c>
      <c r="AV35" s="1">
        <v>2694</v>
      </c>
      <c r="AW35" s="27">
        <v>44716</v>
      </c>
      <c r="AZ35" s="1">
        <v>2694</v>
      </c>
      <c r="BA35" s="27">
        <v>44746</v>
      </c>
      <c r="BC35" s="1">
        <v>2694</v>
      </c>
      <c r="BD35" s="27">
        <v>44777</v>
      </c>
      <c r="BF35" s="1">
        <v>2694</v>
      </c>
      <c r="BG35" s="89">
        <v>44807</v>
      </c>
      <c r="BI35" s="1">
        <v>2694</v>
      </c>
      <c r="BJ35" s="89">
        <v>44838</v>
      </c>
      <c r="BL35" s="92">
        <v>2694</v>
      </c>
      <c r="BM35" s="93">
        <v>44869</v>
      </c>
      <c r="BO35" s="92">
        <v>2694</v>
      </c>
      <c r="BP35" s="93">
        <v>44898</v>
      </c>
      <c r="BR35" s="92">
        <v>2694</v>
      </c>
      <c r="BS35" s="93">
        <v>44930</v>
      </c>
      <c r="BU35" s="92">
        <v>2694</v>
      </c>
      <c r="BV35" s="93">
        <v>44961</v>
      </c>
      <c r="BX35" s="92">
        <v>2694</v>
      </c>
      <c r="BY35" s="93">
        <v>44989</v>
      </c>
      <c r="CA35" s="92">
        <v>2424</v>
      </c>
      <c r="CB35" s="93">
        <v>45020</v>
      </c>
      <c r="CD35" s="92">
        <v>2694</v>
      </c>
      <c r="CE35" s="93">
        <v>45050</v>
      </c>
      <c r="CH35" s="92">
        <v>2694</v>
      </c>
      <c r="CI35" s="93">
        <v>45080</v>
      </c>
      <c r="CK35" s="92">
        <v>2694</v>
      </c>
      <c r="CL35" s="93">
        <v>45111</v>
      </c>
      <c r="CN35" s="92">
        <v>2694</v>
      </c>
      <c r="CO35" s="93">
        <v>45142</v>
      </c>
      <c r="CQ35" s="92">
        <v>2694</v>
      </c>
      <c r="CR35" s="93">
        <v>45173</v>
      </c>
      <c r="CT35" s="92">
        <v>2694</v>
      </c>
      <c r="CU35" s="93">
        <v>45203</v>
      </c>
      <c r="CW35" s="92">
        <v>2694</v>
      </c>
      <c r="CX35" s="93">
        <v>45234</v>
      </c>
      <c r="CZ35" s="92">
        <v>2694</v>
      </c>
      <c r="DA35" s="93">
        <v>45264</v>
      </c>
      <c r="DC35" s="92">
        <v>2694</v>
      </c>
      <c r="DD35" s="93">
        <v>45295</v>
      </c>
      <c r="DF35" s="92">
        <v>2694</v>
      </c>
      <c r="DG35" s="93">
        <v>45325</v>
      </c>
      <c r="DI35" s="92">
        <v>2694</v>
      </c>
      <c r="DJ35" s="93">
        <v>45355</v>
      </c>
      <c r="DL35" s="92">
        <v>2424</v>
      </c>
      <c r="DM35" s="93">
        <v>45386</v>
      </c>
      <c r="DO35" s="29">
        <v>2694</v>
      </c>
      <c r="DP35" s="123">
        <v>45416</v>
      </c>
      <c r="DR35" s="29">
        <v>2694</v>
      </c>
      <c r="DS35" s="123">
        <v>45447</v>
      </c>
      <c r="DU35" s="29">
        <v>2694</v>
      </c>
      <c r="DV35" s="123">
        <v>45477</v>
      </c>
      <c r="DX35" s="29">
        <v>2694</v>
      </c>
      <c r="DY35" s="125">
        <v>45508</v>
      </c>
      <c r="EA35" s="29">
        <v>2694</v>
      </c>
      <c r="EB35" s="125">
        <v>45539</v>
      </c>
      <c r="ED35" s="29">
        <v>2694</v>
      </c>
      <c r="EE35" s="93">
        <v>45569</v>
      </c>
      <c r="EG35" s="29">
        <v>2694</v>
      </c>
      <c r="EH35" s="93">
        <v>45600</v>
      </c>
      <c r="EJ35" s="29">
        <v>2694</v>
      </c>
      <c r="EK35" s="93">
        <v>45630</v>
      </c>
      <c r="EP35" s="29">
        <v>2694</v>
      </c>
      <c r="EQ35" s="95">
        <v>45661</v>
      </c>
      <c r="ES35" s="29">
        <v>2694</v>
      </c>
      <c r="ET35" s="95">
        <v>45692</v>
      </c>
      <c r="EV35" s="29">
        <v>2694</v>
      </c>
      <c r="EW35" s="95">
        <v>45720</v>
      </c>
      <c r="EY35" s="29">
        <v>2694</v>
      </c>
      <c r="EZ35" s="95">
        <v>45751</v>
      </c>
      <c r="FB35" s="29">
        <v>2694</v>
      </c>
      <c r="FC35" s="95">
        <v>45751</v>
      </c>
      <c r="FE35" s="29">
        <v>2694</v>
      </c>
      <c r="FF35" s="95">
        <v>45812</v>
      </c>
      <c r="FH35" s="29">
        <v>2694</v>
      </c>
      <c r="FI35" s="95">
        <v>45842</v>
      </c>
      <c r="FK35" s="29">
        <v>2694</v>
      </c>
      <c r="FL35" s="95">
        <v>45873</v>
      </c>
      <c r="FN35" s="29">
        <v>2694</v>
      </c>
      <c r="FO35" s="95">
        <v>45904</v>
      </c>
      <c r="FQ35" s="29">
        <v>2694</v>
      </c>
      <c r="FR35" s="95">
        <v>45934</v>
      </c>
      <c r="FT35" s="29">
        <v>2694</v>
      </c>
      <c r="FU35" s="95">
        <v>45965</v>
      </c>
      <c r="FW35" s="29">
        <v>2694</v>
      </c>
      <c r="FX35" s="95">
        <v>45995</v>
      </c>
      <c r="FY35" t="s">
        <v>20</v>
      </c>
      <c r="FZ35" s="29">
        <v>2679</v>
      </c>
      <c r="GA35" s="95">
        <v>46025</v>
      </c>
      <c r="GB35" t="s">
        <v>20</v>
      </c>
      <c r="GC35" s="29">
        <v>2693</v>
      </c>
      <c r="GD35" s="95">
        <v>46057</v>
      </c>
      <c r="GE35" t="s">
        <v>20</v>
      </c>
      <c r="GF35" s="29">
        <v>2694</v>
      </c>
      <c r="GG35" s="95">
        <v>46085</v>
      </c>
      <c r="GH35" t="s">
        <v>20</v>
      </c>
      <c r="GI35" s="29">
        <v>2694</v>
      </c>
      <c r="GJ35" s="95">
        <v>46116</v>
      </c>
      <c r="GK35" t="s">
        <v>20</v>
      </c>
      <c r="GL35" s="29">
        <v>2694</v>
      </c>
      <c r="GM35" s="95">
        <v>46146</v>
      </c>
      <c r="GN35" t="s">
        <v>20</v>
      </c>
      <c r="GO35" s="29">
        <v>2693</v>
      </c>
      <c r="GP35" s="95">
        <v>46177</v>
      </c>
      <c r="GQ35" t="s">
        <v>20</v>
      </c>
      <c r="GR35" s="136">
        <v>89</v>
      </c>
      <c r="GS35" s="137">
        <v>46207</v>
      </c>
      <c r="GT35" s="26" t="s">
        <v>146</v>
      </c>
    </row>
    <row r="36" spans="2:208" x14ac:dyDescent="0.25">
      <c r="B36" t="s">
        <v>71</v>
      </c>
      <c r="C36" s="12" t="s">
        <v>151</v>
      </c>
      <c r="D36" s="20" t="s">
        <v>23</v>
      </c>
      <c r="E36" s="4" t="s">
        <v>17</v>
      </c>
      <c r="F36" s="12" t="s">
        <v>151</v>
      </c>
      <c r="G36" s="3">
        <v>500000</v>
      </c>
      <c r="H36" s="41" t="s">
        <v>25</v>
      </c>
      <c r="I36" s="41" t="s">
        <v>152</v>
      </c>
      <c r="J36" s="67">
        <v>6.5000000000000002E-2</v>
      </c>
      <c r="K36" s="1">
        <v>8125</v>
      </c>
      <c r="L36" s="30"/>
      <c r="M36" t="s">
        <v>71</v>
      </c>
      <c r="P36" s="1"/>
      <c r="Q36" s="1"/>
      <c r="R36"/>
      <c r="S36" s="1"/>
      <c r="T36" s="27"/>
      <c r="U36" s="1"/>
      <c r="V36" s="27"/>
      <c r="W36" s="1"/>
      <c r="X36" s="27"/>
      <c r="Y36" s="1"/>
      <c r="Z36" s="27"/>
      <c r="AB36" s="1"/>
      <c r="AC36" s="27"/>
      <c r="AE36" s="1"/>
      <c r="AF36" s="27"/>
      <c r="AH36" s="1"/>
      <c r="AI36" s="27"/>
      <c r="AL36" s="1"/>
      <c r="AM36" s="27"/>
      <c r="AO36" s="1"/>
      <c r="AP36" s="27"/>
      <c r="AR36" s="1"/>
      <c r="AS36" s="27"/>
      <c r="AV36" s="1">
        <v>4368</v>
      </c>
      <c r="AW36" s="27">
        <v>44742</v>
      </c>
      <c r="BA36" s="27"/>
      <c r="BF36" s="1">
        <v>8125</v>
      </c>
      <c r="BG36" s="89">
        <v>44834</v>
      </c>
      <c r="BO36" s="92">
        <v>8125</v>
      </c>
      <c r="BP36" s="93">
        <v>44926</v>
      </c>
      <c r="BX36" s="92">
        <v>8125</v>
      </c>
      <c r="BY36" s="93">
        <v>45016</v>
      </c>
      <c r="BZ36" t="s">
        <v>215</v>
      </c>
      <c r="CH36" s="92">
        <v>8125</v>
      </c>
      <c r="CI36" s="93">
        <v>45107</v>
      </c>
      <c r="CJ36" t="s">
        <v>215</v>
      </c>
      <c r="CQ36" s="92">
        <v>8125</v>
      </c>
      <c r="CR36" s="93">
        <v>45199</v>
      </c>
      <c r="CS36" t="s">
        <v>215</v>
      </c>
      <c r="CZ36" s="92">
        <v>8125</v>
      </c>
      <c r="DA36" s="93">
        <v>45290</v>
      </c>
      <c r="DB36" t="s">
        <v>215</v>
      </c>
      <c r="DI36" s="92">
        <v>8125</v>
      </c>
      <c r="DJ36" s="93">
        <v>45382</v>
      </c>
      <c r="DK36" t="s">
        <v>215</v>
      </c>
      <c r="DR36" s="29">
        <v>8125</v>
      </c>
      <c r="DS36" s="123">
        <v>45472</v>
      </c>
      <c r="DT36" t="s">
        <v>215</v>
      </c>
      <c r="EA36" s="29">
        <v>8125</v>
      </c>
      <c r="EB36" s="125">
        <v>45565</v>
      </c>
      <c r="EC36" t="s">
        <v>215</v>
      </c>
      <c r="EJ36" s="29">
        <v>8125</v>
      </c>
      <c r="EK36" s="93">
        <v>45656</v>
      </c>
      <c r="EL36" t="s">
        <v>215</v>
      </c>
      <c r="EV36" s="29">
        <v>8125</v>
      </c>
      <c r="EW36" s="95">
        <v>45746</v>
      </c>
      <c r="EX36" t="s">
        <v>215</v>
      </c>
      <c r="FE36" s="29">
        <v>8125</v>
      </c>
      <c r="FF36" s="95">
        <v>45838</v>
      </c>
      <c r="FG36" t="s">
        <v>215</v>
      </c>
      <c r="FN36" s="29">
        <v>8125</v>
      </c>
      <c r="FO36" s="95">
        <v>45926</v>
      </c>
      <c r="FP36" t="s">
        <v>215</v>
      </c>
      <c r="FW36" s="29">
        <v>8125</v>
      </c>
      <c r="FX36" s="95">
        <v>46022</v>
      </c>
      <c r="FY36" t="s">
        <v>215</v>
      </c>
      <c r="GF36" s="29">
        <v>8125</v>
      </c>
      <c r="GG36" s="95">
        <v>45747</v>
      </c>
      <c r="GH36" t="s">
        <v>215</v>
      </c>
      <c r="GO36" s="29">
        <v>8125</v>
      </c>
      <c r="GP36" s="95">
        <v>45838</v>
      </c>
      <c r="GQ36" t="s">
        <v>215</v>
      </c>
      <c r="GX36" s="90">
        <v>8125</v>
      </c>
      <c r="GY36" s="88">
        <v>45930</v>
      </c>
      <c r="GZ36" t="s">
        <v>215</v>
      </c>
    </row>
    <row r="37" spans="2:208" x14ac:dyDescent="0.25">
      <c r="B37" t="s">
        <v>71</v>
      </c>
      <c r="C37" s="12" t="s">
        <v>153</v>
      </c>
      <c r="D37" s="20" t="s">
        <v>23</v>
      </c>
      <c r="E37" s="4" t="s">
        <v>17</v>
      </c>
      <c r="F37" s="12" t="s">
        <v>153</v>
      </c>
      <c r="G37" s="3">
        <v>500000</v>
      </c>
      <c r="H37" s="41" t="s">
        <v>25</v>
      </c>
      <c r="I37" s="41" t="s">
        <v>152</v>
      </c>
      <c r="J37" s="67">
        <v>6.5000000000000002E-2</v>
      </c>
      <c r="K37" s="1">
        <v>8125</v>
      </c>
      <c r="L37" s="30"/>
      <c r="M37" t="s">
        <v>71</v>
      </c>
      <c r="P37" s="1"/>
      <c r="Q37" s="1"/>
      <c r="R37"/>
      <c r="S37" s="1"/>
      <c r="T37" s="27"/>
      <c r="U37" s="1"/>
      <c r="V37" s="27"/>
      <c r="W37" s="1"/>
      <c r="X37" s="27"/>
      <c r="Y37" s="1"/>
      <c r="Z37" s="27"/>
      <c r="AB37" s="1"/>
      <c r="AC37" s="27"/>
      <c r="AE37" s="1"/>
      <c r="AF37" s="27"/>
      <c r="AH37" s="1"/>
      <c r="AI37" s="27"/>
      <c r="AL37" s="1"/>
      <c r="AM37" s="27"/>
      <c r="AO37" s="1"/>
      <c r="AP37" s="27"/>
      <c r="AR37" s="1"/>
      <c r="AS37" s="27"/>
      <c r="AV37" s="1">
        <v>4368</v>
      </c>
      <c r="AW37" s="27">
        <v>44742</v>
      </c>
      <c r="BF37" s="1">
        <v>8125</v>
      </c>
      <c r="BG37" s="89">
        <v>44834</v>
      </c>
      <c r="BO37" s="92">
        <v>8125</v>
      </c>
      <c r="BP37" s="93">
        <v>44926</v>
      </c>
      <c r="BX37" s="92">
        <v>8125</v>
      </c>
      <c r="BY37" s="93">
        <v>45016</v>
      </c>
      <c r="BZ37" t="s">
        <v>215</v>
      </c>
      <c r="CH37" s="92">
        <v>8125</v>
      </c>
      <c r="CI37" s="93">
        <v>45107</v>
      </c>
      <c r="CJ37" t="s">
        <v>215</v>
      </c>
      <c r="CQ37" s="92">
        <v>8125</v>
      </c>
      <c r="CR37" s="93">
        <v>45199</v>
      </c>
      <c r="CS37" t="s">
        <v>215</v>
      </c>
      <c r="CZ37" s="92">
        <v>8125</v>
      </c>
      <c r="DA37" s="93">
        <v>45290</v>
      </c>
      <c r="DB37" t="s">
        <v>215</v>
      </c>
      <c r="DI37" s="92">
        <v>8125</v>
      </c>
      <c r="DJ37" s="93">
        <v>45382</v>
      </c>
      <c r="DK37" t="s">
        <v>215</v>
      </c>
      <c r="DR37" s="29">
        <v>8125</v>
      </c>
      <c r="DS37" s="123">
        <v>45472</v>
      </c>
      <c r="DT37" t="s">
        <v>215</v>
      </c>
      <c r="EA37" s="29">
        <v>8125</v>
      </c>
      <c r="EB37" s="125">
        <v>45565</v>
      </c>
      <c r="EC37" t="s">
        <v>215</v>
      </c>
      <c r="EJ37" s="29">
        <v>8125</v>
      </c>
      <c r="EK37" s="93">
        <v>45656</v>
      </c>
      <c r="EL37" t="s">
        <v>215</v>
      </c>
      <c r="EV37" s="29">
        <v>8125</v>
      </c>
      <c r="EW37" s="95">
        <v>45746</v>
      </c>
      <c r="EX37" t="s">
        <v>215</v>
      </c>
      <c r="FE37" s="29">
        <v>8125</v>
      </c>
      <c r="FF37" s="95">
        <v>45838</v>
      </c>
      <c r="FG37" t="s">
        <v>215</v>
      </c>
      <c r="FN37" s="29">
        <v>8125</v>
      </c>
      <c r="FO37" s="95">
        <v>45926</v>
      </c>
      <c r="FP37" t="s">
        <v>215</v>
      </c>
      <c r="FW37" s="29">
        <v>8125</v>
      </c>
      <c r="FX37" s="95">
        <v>46022</v>
      </c>
      <c r="FY37" t="s">
        <v>215</v>
      </c>
      <c r="GF37" s="29">
        <v>8125</v>
      </c>
      <c r="GG37" s="95">
        <v>45747</v>
      </c>
      <c r="GH37" t="s">
        <v>215</v>
      </c>
      <c r="GO37" s="29">
        <v>8125</v>
      </c>
      <c r="GP37" s="95">
        <v>45838</v>
      </c>
      <c r="GQ37" t="s">
        <v>215</v>
      </c>
      <c r="GX37" s="90">
        <v>8125</v>
      </c>
      <c r="GY37" s="88">
        <v>45930</v>
      </c>
      <c r="GZ37" t="s">
        <v>215</v>
      </c>
    </row>
    <row r="38" spans="2:208" x14ac:dyDescent="0.25">
      <c r="C38" s="12"/>
      <c r="D38" s="73" t="s">
        <v>23</v>
      </c>
      <c r="E38" s="73" t="s">
        <v>144</v>
      </c>
      <c r="F38" s="12"/>
      <c r="G38" s="35">
        <v>50000</v>
      </c>
      <c r="H38" s="42"/>
      <c r="I38" s="41">
        <v>44620</v>
      </c>
      <c r="J38" s="67"/>
      <c r="K38" s="1"/>
      <c r="L38" s="38" t="s">
        <v>146</v>
      </c>
      <c r="P38" s="1"/>
      <c r="Q38" s="1"/>
      <c r="R38"/>
      <c r="S38" s="1"/>
      <c r="T38" s="27"/>
      <c r="U38" s="1"/>
      <c r="V38" s="27"/>
      <c r="W38" s="1"/>
      <c r="X38" s="27"/>
      <c r="Y38" s="1"/>
      <c r="Z38" s="27"/>
      <c r="AB38" s="1"/>
      <c r="AC38" s="27"/>
      <c r="AE38" s="1"/>
      <c r="AF38" s="27"/>
      <c r="AH38" s="1"/>
      <c r="AI38" s="27"/>
      <c r="AK38" s="70" t="s">
        <v>145</v>
      </c>
      <c r="AL38" s="1">
        <v>79073.19</v>
      </c>
      <c r="AM38" s="27">
        <v>44624</v>
      </c>
      <c r="AR38" s="1"/>
      <c r="AS38" s="27"/>
      <c r="AZ38">
        <v>587</v>
      </c>
      <c r="BA38" s="27">
        <v>44743</v>
      </c>
      <c r="BB38" t="s">
        <v>140</v>
      </c>
      <c r="BC38">
        <v>19.579999999999998</v>
      </c>
      <c r="BD38" t="s">
        <v>174</v>
      </c>
      <c r="BF38">
        <v>19.579999999999998</v>
      </c>
      <c r="BG38" t="s">
        <v>174</v>
      </c>
      <c r="DC38" s="92">
        <v>306</v>
      </c>
      <c r="DD38" s="93">
        <v>45292</v>
      </c>
      <c r="DE38" t="s">
        <v>140</v>
      </c>
      <c r="DI38" s="92">
        <v>418</v>
      </c>
      <c r="DJ38" s="93">
        <v>45382</v>
      </c>
      <c r="DK38" t="s">
        <v>245</v>
      </c>
      <c r="DR38" s="29">
        <v>233</v>
      </c>
      <c r="DS38" s="93">
        <v>45474</v>
      </c>
      <c r="DT38" t="s">
        <v>140</v>
      </c>
      <c r="DX38" s="126">
        <v>9260</v>
      </c>
      <c r="DY38" s="127">
        <v>45512</v>
      </c>
      <c r="DZ38" s="26" t="s">
        <v>254</v>
      </c>
      <c r="ED38" s="29">
        <v>386</v>
      </c>
      <c r="EE38" s="93">
        <v>45566</v>
      </c>
      <c r="EF38" t="s">
        <v>245</v>
      </c>
      <c r="EV38" s="29">
        <v>373</v>
      </c>
      <c r="EW38" s="95">
        <v>45747</v>
      </c>
      <c r="EX38" t="s">
        <v>245</v>
      </c>
      <c r="FH38" s="29">
        <v>426</v>
      </c>
      <c r="FI38" s="95">
        <v>45839</v>
      </c>
      <c r="FJ38" t="s">
        <v>140</v>
      </c>
      <c r="FQ38" s="29">
        <v>363</v>
      </c>
      <c r="FR38" s="95">
        <v>45931</v>
      </c>
      <c r="FS38" t="s">
        <v>140</v>
      </c>
      <c r="FZ38" s="29">
        <v>257</v>
      </c>
      <c r="GA38" s="95">
        <v>46023</v>
      </c>
      <c r="GB38" t="s">
        <v>171</v>
      </c>
      <c r="GO38" s="29">
        <v>175</v>
      </c>
      <c r="GP38" s="95">
        <v>45838</v>
      </c>
      <c r="GR38" s="29">
        <v>214</v>
      </c>
      <c r="GS38" s="95">
        <v>46204</v>
      </c>
      <c r="GT38" t="s">
        <v>291</v>
      </c>
    </row>
    <row r="39" spans="2:208" ht="15.75" x14ac:dyDescent="0.25">
      <c r="C39" s="76" t="s">
        <v>122</v>
      </c>
      <c r="D39" s="20"/>
      <c r="E39" s="4"/>
      <c r="F39" s="76" t="s">
        <v>122</v>
      </c>
      <c r="G39" s="77">
        <f>SUM(G36:G37)</f>
        <v>1000000</v>
      </c>
      <c r="H39" s="42"/>
      <c r="I39" s="41"/>
      <c r="J39" s="67"/>
      <c r="K39" s="1"/>
      <c r="L39" s="38"/>
      <c r="P39" s="1"/>
      <c r="Q39" s="1"/>
      <c r="R39"/>
      <c r="S39" s="1"/>
      <c r="T39" s="27"/>
      <c r="U39" s="1"/>
      <c r="V39" s="27"/>
      <c r="W39" s="1"/>
      <c r="X39" s="27"/>
      <c r="Y39" s="1"/>
      <c r="Z39" s="27"/>
      <c r="AB39" s="1"/>
      <c r="AC39" s="27"/>
      <c r="AE39" s="1"/>
      <c r="AF39" s="27"/>
      <c r="AH39" s="1"/>
      <c r="AI39" s="27"/>
      <c r="AK39" s="70"/>
      <c r="AL39" s="1"/>
      <c r="AM39" s="27"/>
      <c r="AR39" s="1"/>
      <c r="AS39" s="27"/>
      <c r="BF39" s="1"/>
      <c r="BH39" s="27"/>
      <c r="BI39" s="1">
        <v>318</v>
      </c>
      <c r="BJ39" t="s">
        <v>171</v>
      </c>
      <c r="BK39" s="89">
        <v>44835</v>
      </c>
      <c r="CK39" s="92">
        <v>3960</v>
      </c>
      <c r="CL39" s="93">
        <v>45121</v>
      </c>
      <c r="CM39" s="26" t="s">
        <v>223</v>
      </c>
      <c r="DX39" s="126">
        <v>6000</v>
      </c>
      <c r="DY39" s="127">
        <v>45516</v>
      </c>
      <c r="DZ39" s="26" t="s">
        <v>255</v>
      </c>
      <c r="EP39" s="29">
        <v>415</v>
      </c>
      <c r="EQ39" s="95">
        <v>45658</v>
      </c>
      <c r="ER39" t="s">
        <v>265</v>
      </c>
    </row>
    <row r="40" spans="2:208" x14ac:dyDescent="0.25">
      <c r="I40" s="1"/>
      <c r="K40" s="1"/>
      <c r="R40"/>
      <c r="W40" s="1"/>
      <c r="X40" s="27"/>
      <c r="Y40" s="1"/>
      <c r="Z40" s="27"/>
      <c r="AE40" s="1">
        <f>612+185</f>
        <v>797</v>
      </c>
      <c r="AF40" s="6" t="s">
        <v>140</v>
      </c>
      <c r="AR40" s="1"/>
      <c r="AS40" s="27"/>
    </row>
    <row r="41" spans="2:208" x14ac:dyDescent="0.25">
      <c r="R41"/>
      <c r="W41" s="1"/>
      <c r="X41" s="27"/>
      <c r="Y41" s="1"/>
      <c r="Z41" s="27"/>
      <c r="AE41" s="1"/>
      <c r="AF41" s="6"/>
      <c r="AR41" s="1"/>
      <c r="AS41" s="27"/>
    </row>
    <row r="42" spans="2:208" x14ac:dyDescent="0.25">
      <c r="B42" t="s">
        <v>20</v>
      </c>
      <c r="C42" s="12" t="s">
        <v>38</v>
      </c>
      <c r="D42" s="21" t="s">
        <v>75</v>
      </c>
      <c r="E42" s="14" t="s">
        <v>37</v>
      </c>
      <c r="F42" s="12" t="s">
        <v>38</v>
      </c>
      <c r="G42" s="15"/>
      <c r="H42" s="43"/>
      <c r="K42" s="1">
        <v>2997</v>
      </c>
      <c r="M42" t="s">
        <v>20</v>
      </c>
      <c r="P42" s="1">
        <f>K42</f>
        <v>2997</v>
      </c>
      <c r="Q42" s="1"/>
      <c r="R42" t="s">
        <v>20</v>
      </c>
      <c r="U42" s="1">
        <f>P42</f>
        <v>2997</v>
      </c>
      <c r="V42" s="27">
        <v>44442</v>
      </c>
      <c r="W42" s="1">
        <v>2997</v>
      </c>
      <c r="X42" s="27">
        <v>44472</v>
      </c>
      <c r="Y42" s="1">
        <v>2997</v>
      </c>
      <c r="Z42" s="27">
        <v>44503</v>
      </c>
      <c r="AA42" s="6" t="s">
        <v>138</v>
      </c>
      <c r="AB42" s="1">
        <v>2997</v>
      </c>
      <c r="AC42" s="27">
        <v>44533</v>
      </c>
      <c r="AE42" s="1">
        <v>2997</v>
      </c>
      <c r="AF42" s="27">
        <v>44565</v>
      </c>
      <c r="AH42" s="1">
        <v>2997</v>
      </c>
      <c r="AI42" s="27">
        <v>44596</v>
      </c>
      <c r="AJ42" s="37" t="s">
        <v>143</v>
      </c>
      <c r="AL42" s="1">
        <v>2997</v>
      </c>
      <c r="AM42" s="27">
        <v>44624</v>
      </c>
      <c r="AO42" s="1">
        <v>2997</v>
      </c>
      <c r="AP42" s="27">
        <v>44655</v>
      </c>
      <c r="AR42" s="1"/>
      <c r="AS42" s="27"/>
      <c r="BF42" s="1">
        <v>2997</v>
      </c>
      <c r="BG42" s="89">
        <v>44808</v>
      </c>
      <c r="BI42" s="1">
        <v>2997</v>
      </c>
      <c r="BJ42" s="89">
        <v>44838</v>
      </c>
      <c r="BL42" s="92">
        <v>2997</v>
      </c>
      <c r="BM42" s="93">
        <v>44866</v>
      </c>
      <c r="BO42" s="92">
        <v>2997</v>
      </c>
      <c r="BP42" s="93">
        <v>44896</v>
      </c>
      <c r="BR42" s="92">
        <v>2997</v>
      </c>
      <c r="BS42" s="93">
        <v>44927</v>
      </c>
      <c r="BU42" s="92">
        <v>2997</v>
      </c>
      <c r="BV42" s="93">
        <v>44958</v>
      </c>
      <c r="BX42" s="92">
        <v>2997</v>
      </c>
      <c r="BY42" s="93">
        <v>44986</v>
      </c>
      <c r="CA42" s="92">
        <v>2997</v>
      </c>
      <c r="CB42" s="93">
        <v>45017</v>
      </c>
      <c r="CD42" s="92">
        <v>2997</v>
      </c>
      <c r="CE42" s="93">
        <v>45047</v>
      </c>
      <c r="CH42" s="92">
        <v>2997</v>
      </c>
      <c r="CI42" s="93">
        <v>45078</v>
      </c>
      <c r="CK42" s="92">
        <v>2997</v>
      </c>
      <c r="CL42" s="93">
        <v>45108</v>
      </c>
      <c r="CN42" s="92">
        <v>2997</v>
      </c>
      <c r="CO42" s="93">
        <v>45139</v>
      </c>
      <c r="CQ42" s="92">
        <v>2997</v>
      </c>
      <c r="CR42" s="93">
        <v>45170</v>
      </c>
      <c r="CT42" s="92">
        <v>2997</v>
      </c>
      <c r="CU42" s="93">
        <v>45200</v>
      </c>
      <c r="CW42" s="92">
        <v>2997</v>
      </c>
      <c r="CX42" s="93">
        <v>45231</v>
      </c>
      <c r="CZ42" s="92">
        <v>2997</v>
      </c>
      <c r="DA42" s="93">
        <v>45261</v>
      </c>
      <c r="DC42" s="92">
        <v>2997</v>
      </c>
      <c r="DD42" s="93">
        <v>45292</v>
      </c>
      <c r="DF42" s="92">
        <v>2997</v>
      </c>
      <c r="DG42" s="93">
        <v>45323</v>
      </c>
      <c r="DI42" s="92">
        <v>2997</v>
      </c>
      <c r="DJ42" s="93">
        <v>45352</v>
      </c>
      <c r="DL42" s="92">
        <v>2997</v>
      </c>
      <c r="DM42" s="93">
        <v>45383</v>
      </c>
      <c r="DO42" s="29">
        <v>2997</v>
      </c>
      <c r="DP42" s="123">
        <v>45413</v>
      </c>
      <c r="DR42" s="29">
        <v>2997</v>
      </c>
      <c r="DS42" s="123">
        <v>45444</v>
      </c>
      <c r="DU42" s="29">
        <v>2997</v>
      </c>
      <c r="DV42" s="123">
        <v>45474</v>
      </c>
      <c r="DX42" s="29">
        <v>2997</v>
      </c>
      <c r="DY42" s="125">
        <v>45505</v>
      </c>
      <c r="EA42" s="29">
        <v>2997</v>
      </c>
      <c r="EB42" s="125">
        <v>45536</v>
      </c>
      <c r="ED42" s="29">
        <v>2997</v>
      </c>
      <c r="EE42" s="125">
        <v>45566</v>
      </c>
      <c r="EG42" s="29">
        <v>2997</v>
      </c>
      <c r="EH42" s="93">
        <v>45597</v>
      </c>
      <c r="EJ42" s="29">
        <v>2997</v>
      </c>
      <c r="EK42" s="93">
        <v>45627</v>
      </c>
      <c r="EP42" s="29">
        <v>2997</v>
      </c>
      <c r="EQ42" s="95">
        <v>45658</v>
      </c>
      <c r="ES42" s="29">
        <v>2997</v>
      </c>
      <c r="ET42" s="95">
        <v>45689</v>
      </c>
      <c r="EV42" s="29">
        <v>2997</v>
      </c>
      <c r="EW42" s="95">
        <v>45717</v>
      </c>
      <c r="EY42" s="29">
        <v>2997</v>
      </c>
      <c r="EZ42" s="95">
        <v>45748</v>
      </c>
      <c r="FB42" s="29">
        <v>2997</v>
      </c>
      <c r="FC42" s="95">
        <v>45778</v>
      </c>
      <c r="FE42" s="29">
        <v>2997</v>
      </c>
      <c r="FF42" s="95">
        <v>45809</v>
      </c>
      <c r="FH42" s="29">
        <v>2997</v>
      </c>
      <c r="FI42" s="95">
        <v>45839</v>
      </c>
      <c r="FK42" s="29">
        <v>2997</v>
      </c>
      <c r="FL42" s="95">
        <v>45870</v>
      </c>
      <c r="FN42" s="29">
        <v>2997</v>
      </c>
      <c r="FO42" s="95">
        <v>45901</v>
      </c>
      <c r="FQ42" s="29">
        <v>2997</v>
      </c>
      <c r="FR42" s="95">
        <v>45931</v>
      </c>
      <c r="FT42" s="29">
        <v>2997</v>
      </c>
      <c r="FU42" s="95">
        <v>45962</v>
      </c>
      <c r="FW42" s="29">
        <v>2997</v>
      </c>
      <c r="FX42" s="95">
        <v>45992</v>
      </c>
      <c r="FZ42" s="29">
        <v>2997</v>
      </c>
      <c r="GA42" s="95">
        <v>46023</v>
      </c>
      <c r="GC42" s="29">
        <v>2997</v>
      </c>
      <c r="GD42" s="95">
        <v>46054</v>
      </c>
      <c r="GE42" t="s">
        <v>20</v>
      </c>
      <c r="GF42" s="29">
        <v>2997</v>
      </c>
      <c r="GG42" s="95">
        <v>46082</v>
      </c>
      <c r="GH42" t="s">
        <v>20</v>
      </c>
      <c r="GI42" s="29">
        <v>2997</v>
      </c>
      <c r="GJ42" s="95">
        <v>46113</v>
      </c>
      <c r="GK42" t="s">
        <v>20</v>
      </c>
      <c r="GL42" s="29">
        <v>2997</v>
      </c>
      <c r="GM42" s="95">
        <v>46143</v>
      </c>
      <c r="GN42" t="s">
        <v>20</v>
      </c>
      <c r="GO42" s="29">
        <v>2997</v>
      </c>
      <c r="GP42" s="95">
        <v>46174</v>
      </c>
      <c r="GQ42" t="s">
        <v>20</v>
      </c>
      <c r="GR42" s="29">
        <v>2997</v>
      </c>
      <c r="GS42" s="95">
        <v>46204</v>
      </c>
      <c r="GT42" t="s">
        <v>20</v>
      </c>
      <c r="GU42" s="29">
        <v>2997</v>
      </c>
      <c r="GV42" s="95">
        <v>46235</v>
      </c>
      <c r="GW42" t="s">
        <v>20</v>
      </c>
      <c r="GX42" s="29">
        <v>2997</v>
      </c>
      <c r="GY42" s="95">
        <v>46266</v>
      </c>
      <c r="GZ42" t="s">
        <v>20</v>
      </c>
    </row>
    <row r="43" spans="2:208" x14ac:dyDescent="0.25">
      <c r="C43" s="94" t="s">
        <v>217</v>
      </c>
      <c r="D43" s="21" t="s">
        <v>216</v>
      </c>
      <c r="E43" s="14" t="s">
        <v>14</v>
      </c>
      <c r="F43" s="94" t="s">
        <v>217</v>
      </c>
      <c r="G43" s="15"/>
      <c r="H43" s="43"/>
      <c r="K43" s="1"/>
      <c r="P43" s="1"/>
      <c r="Q43" s="1"/>
      <c r="R43"/>
      <c r="U43" s="1"/>
      <c r="V43" s="27"/>
      <c r="W43" s="1"/>
      <c r="X43" s="27"/>
      <c r="Y43" s="1"/>
      <c r="Z43" s="27"/>
      <c r="AB43" s="1"/>
      <c r="AC43" s="27"/>
      <c r="AE43" s="1"/>
      <c r="AF43" s="27"/>
      <c r="AH43" s="1"/>
      <c r="AI43" s="27"/>
      <c r="AJ43" s="37"/>
      <c r="AL43" s="1"/>
      <c r="AM43" s="27"/>
      <c r="AO43" s="1"/>
      <c r="AP43" s="27"/>
      <c r="AR43" s="1"/>
      <c r="AS43" s="27"/>
      <c r="BF43" s="1"/>
      <c r="BG43" s="89"/>
      <c r="BI43" s="1"/>
      <c r="BJ43" s="89"/>
    </row>
    <row r="44" spans="2:208" x14ac:dyDescent="0.25">
      <c r="R44"/>
      <c r="W44" s="1"/>
      <c r="X44" s="27"/>
      <c r="Y44" s="1"/>
      <c r="Z44" s="27"/>
      <c r="AE44" s="1"/>
      <c r="AR44" s="1"/>
      <c r="AS44" s="27"/>
    </row>
    <row r="45" spans="2:208" x14ac:dyDescent="0.25">
      <c r="B45" t="s">
        <v>20</v>
      </c>
      <c r="C45" t="s">
        <v>276</v>
      </c>
      <c r="D45" s="22" t="s">
        <v>39</v>
      </c>
      <c r="E45" t="s">
        <v>141</v>
      </c>
      <c r="K45" s="1">
        <v>2000</v>
      </c>
      <c r="M45" t="s">
        <v>20</v>
      </c>
      <c r="P45" s="1">
        <f>K45</f>
        <v>2000</v>
      </c>
      <c r="Q45" s="1"/>
      <c r="R45" t="s">
        <v>20</v>
      </c>
      <c r="S45" s="1">
        <v>2000</v>
      </c>
      <c r="T45" s="27">
        <v>44417</v>
      </c>
      <c r="U45" s="1">
        <v>2000</v>
      </c>
      <c r="V45" s="27">
        <v>44446</v>
      </c>
      <c r="W45" s="1">
        <v>2000</v>
      </c>
      <c r="X45" s="27">
        <v>44476</v>
      </c>
      <c r="Y45" s="1">
        <v>2000</v>
      </c>
      <c r="Z45" s="27">
        <v>44508</v>
      </c>
      <c r="AA45" s="6" t="s">
        <v>138</v>
      </c>
      <c r="AB45" s="1">
        <v>2000</v>
      </c>
      <c r="AC45" s="27">
        <v>44537</v>
      </c>
      <c r="AE45" s="1">
        <v>2000</v>
      </c>
      <c r="AF45" s="27">
        <v>44568</v>
      </c>
      <c r="AG45" s="1"/>
      <c r="AH45" s="1">
        <v>2000</v>
      </c>
      <c r="AI45" s="27">
        <v>44599</v>
      </c>
      <c r="AL45" s="1">
        <v>2000</v>
      </c>
      <c r="AM45" s="27">
        <v>44627</v>
      </c>
      <c r="AO45" s="1">
        <v>2000</v>
      </c>
      <c r="AP45" s="27">
        <v>44659</v>
      </c>
      <c r="AQ45" s="1"/>
      <c r="AR45" s="1">
        <v>2000</v>
      </c>
      <c r="AS45" s="27">
        <v>44688</v>
      </c>
      <c r="AV45" s="1">
        <v>2000</v>
      </c>
      <c r="AW45" s="27">
        <v>44719</v>
      </c>
      <c r="AZ45" s="1">
        <v>2000</v>
      </c>
      <c r="BA45" s="27">
        <v>44749</v>
      </c>
      <c r="BC45" s="1">
        <v>2000</v>
      </c>
      <c r="BD45" s="27">
        <v>44779</v>
      </c>
      <c r="BF45" s="1">
        <v>2000</v>
      </c>
      <c r="BG45" s="89">
        <v>44812</v>
      </c>
      <c r="BI45" s="1">
        <v>2000</v>
      </c>
      <c r="BJ45" s="89">
        <v>44841</v>
      </c>
      <c r="BL45" s="92">
        <v>2000</v>
      </c>
      <c r="BM45" s="93">
        <v>44872</v>
      </c>
      <c r="BO45" s="92">
        <v>2000</v>
      </c>
      <c r="BP45" s="93">
        <v>41251</v>
      </c>
      <c r="BR45" s="92">
        <v>2000</v>
      </c>
      <c r="BS45" s="93">
        <v>44933</v>
      </c>
      <c r="BU45" s="92">
        <v>2000</v>
      </c>
      <c r="BV45" s="93">
        <v>44964</v>
      </c>
      <c r="BX45" s="92">
        <v>2000</v>
      </c>
      <c r="BY45" s="93">
        <v>44992</v>
      </c>
      <c r="CA45" s="92">
        <v>2000</v>
      </c>
      <c r="CB45" s="93">
        <v>45023</v>
      </c>
      <c r="CD45" s="92">
        <v>2000</v>
      </c>
      <c r="CE45" s="93">
        <v>45053</v>
      </c>
      <c r="CH45" s="92">
        <v>2000</v>
      </c>
      <c r="CI45" s="93">
        <v>45084</v>
      </c>
      <c r="CK45" s="92">
        <f>2000+1520</f>
        <v>3520</v>
      </c>
      <c r="CL45" s="93">
        <v>45114</v>
      </c>
      <c r="CN45" s="92">
        <f>2000+1520</f>
        <v>3520</v>
      </c>
      <c r="CO45" s="93">
        <v>45145</v>
      </c>
      <c r="CQ45" s="92">
        <f>2000+1520</f>
        <v>3520</v>
      </c>
      <c r="CR45" s="93">
        <v>45176</v>
      </c>
      <c r="CT45" s="92">
        <f>2000+1520</f>
        <v>3520</v>
      </c>
      <c r="CU45" s="93">
        <v>45206</v>
      </c>
      <c r="CW45" s="92">
        <f>2000+1520</f>
        <v>3520</v>
      </c>
      <c r="CX45" s="93">
        <v>45237</v>
      </c>
      <c r="CZ45" s="92">
        <f>2000+1520</f>
        <v>3520</v>
      </c>
      <c r="DA45" s="93">
        <v>45267</v>
      </c>
      <c r="DC45" s="92">
        <v>3520</v>
      </c>
      <c r="DD45" s="93">
        <v>45298</v>
      </c>
      <c r="DF45" s="92">
        <v>3520</v>
      </c>
      <c r="DG45" s="93">
        <v>45329</v>
      </c>
      <c r="DI45" s="92">
        <v>3520</v>
      </c>
      <c r="DJ45" s="93">
        <v>45358</v>
      </c>
      <c r="DL45" s="92">
        <v>3520</v>
      </c>
      <c r="DM45" s="93">
        <v>45389</v>
      </c>
      <c r="DO45" s="29">
        <v>3520</v>
      </c>
      <c r="DP45" s="123">
        <v>45419</v>
      </c>
      <c r="DR45" s="29">
        <v>3520</v>
      </c>
      <c r="DS45" s="123">
        <v>45450</v>
      </c>
      <c r="DU45" s="29">
        <v>4000</v>
      </c>
      <c r="DV45" s="123">
        <v>45480</v>
      </c>
      <c r="DX45" s="29">
        <v>4000</v>
      </c>
      <c r="DY45" s="125">
        <v>45511</v>
      </c>
      <c r="EA45" s="29">
        <v>4000</v>
      </c>
      <c r="EB45" s="125">
        <v>45542</v>
      </c>
      <c r="ED45" s="29">
        <v>4000</v>
      </c>
      <c r="EE45" s="125">
        <v>45572</v>
      </c>
      <c r="EG45" s="29">
        <v>4000</v>
      </c>
      <c r="EH45" s="93">
        <v>45603</v>
      </c>
      <c r="EJ45" s="29">
        <v>4000</v>
      </c>
      <c r="EK45" s="93">
        <v>45633</v>
      </c>
      <c r="EP45" s="29">
        <v>4000</v>
      </c>
      <c r="EQ45" s="95">
        <v>45664</v>
      </c>
      <c r="ES45" s="29">
        <v>4000</v>
      </c>
      <c r="ET45" s="95">
        <v>45695</v>
      </c>
      <c r="EV45" s="29">
        <v>4000</v>
      </c>
      <c r="EW45" s="95">
        <v>45723</v>
      </c>
      <c r="EY45" s="29">
        <v>4000</v>
      </c>
      <c r="EZ45" s="95">
        <v>45754</v>
      </c>
      <c r="FB45" s="29">
        <v>4000</v>
      </c>
      <c r="FC45" s="95">
        <v>45784</v>
      </c>
      <c r="FE45" s="29">
        <v>4000</v>
      </c>
      <c r="FF45" s="95">
        <v>45815</v>
      </c>
      <c r="FH45" s="29">
        <v>3760</v>
      </c>
      <c r="FI45" s="95">
        <v>45845</v>
      </c>
      <c r="FK45" s="29">
        <v>3760</v>
      </c>
      <c r="FL45" s="95">
        <v>45876</v>
      </c>
      <c r="FN45" s="29">
        <v>3760</v>
      </c>
      <c r="FO45" s="95">
        <v>45907</v>
      </c>
      <c r="FQ45" s="29">
        <v>3760</v>
      </c>
      <c r="FR45" s="95">
        <v>45937</v>
      </c>
      <c r="FT45" s="29">
        <v>3760</v>
      </c>
      <c r="FU45" s="95">
        <v>45968</v>
      </c>
      <c r="FW45" s="29">
        <v>3760</v>
      </c>
      <c r="FX45" s="95">
        <v>45998</v>
      </c>
      <c r="FZ45" s="29">
        <v>3760</v>
      </c>
      <c r="GA45" s="95">
        <v>46029</v>
      </c>
      <c r="GC45" s="29">
        <v>3760</v>
      </c>
      <c r="GD45" s="95">
        <v>46060</v>
      </c>
      <c r="GE45" t="s">
        <v>20</v>
      </c>
      <c r="GF45" s="29">
        <v>3760</v>
      </c>
      <c r="GG45" s="95">
        <v>46088</v>
      </c>
      <c r="GH45" t="s">
        <v>20</v>
      </c>
      <c r="GI45" s="29">
        <v>3760</v>
      </c>
      <c r="GJ45" s="95">
        <v>46119</v>
      </c>
      <c r="GK45" t="s">
        <v>20</v>
      </c>
      <c r="GL45" s="29">
        <v>3760</v>
      </c>
      <c r="GM45" s="95">
        <v>46149</v>
      </c>
      <c r="GN45" t="s">
        <v>20</v>
      </c>
      <c r="GO45" s="29">
        <v>3760</v>
      </c>
      <c r="GP45" s="95">
        <v>46180</v>
      </c>
      <c r="GQ45" t="s">
        <v>20</v>
      </c>
      <c r="GR45" s="29">
        <v>3300</v>
      </c>
      <c r="GS45" s="95">
        <v>46210</v>
      </c>
      <c r="GT45" t="s">
        <v>20</v>
      </c>
      <c r="GU45" s="29">
        <v>3300</v>
      </c>
      <c r="GV45" s="95">
        <v>46241</v>
      </c>
      <c r="GW45" t="s">
        <v>20</v>
      </c>
      <c r="GX45" s="90">
        <v>3300</v>
      </c>
      <c r="GY45" s="88">
        <v>46272</v>
      </c>
      <c r="GZ45" t="s">
        <v>20</v>
      </c>
    </row>
    <row r="46" spans="2:208" x14ac:dyDescent="0.25">
      <c r="R46"/>
      <c r="W46" s="1"/>
      <c r="X46" s="27"/>
      <c r="Y46" s="1"/>
      <c r="Z46" s="27"/>
      <c r="AE46" s="1"/>
      <c r="AR46" s="1"/>
      <c r="AS46" s="27"/>
      <c r="CK46" s="92">
        <v>397</v>
      </c>
      <c r="CL46" s="93">
        <v>45111</v>
      </c>
      <c r="CM46" t="s">
        <v>171</v>
      </c>
    </row>
    <row r="47" spans="2:208" x14ac:dyDescent="0.25">
      <c r="B47" t="s">
        <v>20</v>
      </c>
      <c r="D47" s="23" t="s">
        <v>40</v>
      </c>
      <c r="E47" t="s">
        <v>136</v>
      </c>
      <c r="K47" s="31">
        <v>7159</v>
      </c>
      <c r="M47" t="s">
        <v>20</v>
      </c>
      <c r="P47" s="1">
        <f>K47</f>
        <v>7159</v>
      </c>
      <c r="Q47" s="1"/>
      <c r="R47" t="s">
        <v>20</v>
      </c>
      <c r="S47" s="1">
        <v>7159</v>
      </c>
      <c r="T47" s="27">
        <v>44424</v>
      </c>
      <c r="U47" s="1">
        <v>7159</v>
      </c>
      <c r="V47" s="27">
        <v>44455</v>
      </c>
      <c r="W47" s="1">
        <v>7159</v>
      </c>
      <c r="X47" s="27">
        <v>44485</v>
      </c>
      <c r="Y47" s="1">
        <v>7159</v>
      </c>
      <c r="Z47" s="27">
        <v>44516</v>
      </c>
      <c r="AA47" s="6" t="s">
        <v>138</v>
      </c>
      <c r="AB47" s="1">
        <v>7159</v>
      </c>
      <c r="AC47" s="27">
        <v>44546</v>
      </c>
      <c r="AE47" s="1">
        <v>7159</v>
      </c>
      <c r="AF47" s="27">
        <v>44577</v>
      </c>
      <c r="AG47" s="1"/>
      <c r="AH47" s="1">
        <v>7159</v>
      </c>
      <c r="AI47" s="27">
        <v>44608</v>
      </c>
      <c r="AJ47" s="31"/>
      <c r="AL47" s="1">
        <v>7159</v>
      </c>
      <c r="AM47" s="27">
        <v>44636</v>
      </c>
      <c r="AO47" s="1">
        <v>7159</v>
      </c>
      <c r="AP47" s="27">
        <v>44667</v>
      </c>
      <c r="AQ47" s="1"/>
      <c r="AR47" s="1">
        <v>7159</v>
      </c>
      <c r="AS47" s="27">
        <v>44697</v>
      </c>
      <c r="AV47" s="1">
        <v>7159</v>
      </c>
      <c r="AW47" s="27">
        <v>44728</v>
      </c>
      <c r="AZ47" s="1">
        <v>7159</v>
      </c>
      <c r="BA47" s="27">
        <v>44758</v>
      </c>
      <c r="BC47" s="1">
        <v>7159</v>
      </c>
      <c r="BD47" s="27">
        <v>44789</v>
      </c>
      <c r="BF47" s="1">
        <v>7159</v>
      </c>
      <c r="BG47" s="89">
        <v>44820</v>
      </c>
      <c r="BI47" s="1">
        <v>7159</v>
      </c>
      <c r="BJ47" s="89">
        <v>44850</v>
      </c>
      <c r="BL47" s="92">
        <v>7159</v>
      </c>
      <c r="BM47" s="93">
        <v>44881</v>
      </c>
      <c r="BO47" s="92">
        <v>7159</v>
      </c>
      <c r="BP47" s="93">
        <v>44911</v>
      </c>
      <c r="BR47" s="92">
        <v>7159</v>
      </c>
      <c r="BS47" s="93">
        <v>44942</v>
      </c>
      <c r="BU47" s="92">
        <v>7159</v>
      </c>
      <c r="BV47" s="93">
        <v>44973</v>
      </c>
      <c r="BX47" s="92">
        <v>7159</v>
      </c>
      <c r="BY47" s="93">
        <v>45001</v>
      </c>
      <c r="CA47" s="92">
        <v>7159</v>
      </c>
      <c r="CB47" s="93">
        <v>45032</v>
      </c>
      <c r="CD47" s="92">
        <v>7159</v>
      </c>
      <c r="CE47" s="93">
        <v>45062</v>
      </c>
      <c r="CH47" s="92">
        <v>7159</v>
      </c>
      <c r="CI47" s="93">
        <v>45093</v>
      </c>
      <c r="CK47" s="92">
        <v>7159</v>
      </c>
      <c r="CL47" s="93">
        <v>45123</v>
      </c>
      <c r="CN47" s="92">
        <v>7159</v>
      </c>
      <c r="CO47" s="93">
        <v>45154</v>
      </c>
      <c r="CQ47" s="92">
        <v>7159</v>
      </c>
      <c r="CR47" s="93">
        <v>45185</v>
      </c>
      <c r="CT47" s="92">
        <v>7159</v>
      </c>
      <c r="CU47" s="93">
        <v>45215</v>
      </c>
      <c r="CW47" s="92">
        <v>7159</v>
      </c>
      <c r="CX47" s="93">
        <v>45246</v>
      </c>
      <c r="CZ47" s="92">
        <v>7159</v>
      </c>
      <c r="DA47" s="93">
        <v>45276</v>
      </c>
      <c r="DC47" s="92">
        <v>7159</v>
      </c>
      <c r="DD47" s="93">
        <v>45307</v>
      </c>
      <c r="DF47" s="92">
        <v>7159</v>
      </c>
      <c r="DG47" s="93">
        <v>45338</v>
      </c>
      <c r="DI47" s="92">
        <v>7159</v>
      </c>
      <c r="DJ47" s="93">
        <v>45367</v>
      </c>
      <c r="DL47" s="92">
        <v>7159</v>
      </c>
      <c r="DM47" s="93">
        <v>45398</v>
      </c>
      <c r="DO47" s="29">
        <v>7159</v>
      </c>
      <c r="DP47" s="123">
        <v>45428</v>
      </c>
      <c r="DR47" s="29">
        <v>7159</v>
      </c>
      <c r="DS47" s="123">
        <v>45459</v>
      </c>
      <c r="DU47" s="29">
        <v>7159</v>
      </c>
      <c r="DV47" s="123">
        <v>45488</v>
      </c>
      <c r="DX47" s="29">
        <v>7159</v>
      </c>
      <c r="DY47" s="125">
        <v>45520</v>
      </c>
      <c r="EA47" s="29">
        <v>7159</v>
      </c>
      <c r="EB47" s="125">
        <v>45551</v>
      </c>
      <c r="ED47" s="29">
        <v>7159</v>
      </c>
      <c r="EE47" s="125">
        <v>45581</v>
      </c>
      <c r="EG47" s="29">
        <v>7159</v>
      </c>
      <c r="EH47" s="93">
        <v>45612</v>
      </c>
      <c r="EJ47" s="133">
        <v>7159</v>
      </c>
      <c r="EK47" s="134">
        <v>45660</v>
      </c>
      <c r="EL47" t="s">
        <v>258</v>
      </c>
      <c r="EP47" s="29">
        <v>7159</v>
      </c>
      <c r="EQ47" s="95">
        <v>45660</v>
      </c>
      <c r="ER47" s="26"/>
      <c r="ES47" s="29">
        <v>7159</v>
      </c>
      <c r="ET47" s="95">
        <v>45704</v>
      </c>
      <c r="EV47" s="29">
        <v>7159</v>
      </c>
      <c r="EW47" s="95">
        <v>45732</v>
      </c>
      <c r="EY47" s="29">
        <v>7159</v>
      </c>
      <c r="EZ47" s="95">
        <v>45764</v>
      </c>
      <c r="FB47" s="29">
        <v>7159</v>
      </c>
      <c r="FC47" s="95">
        <v>45793</v>
      </c>
      <c r="FE47" s="29">
        <v>7159</v>
      </c>
      <c r="FF47" s="95">
        <v>45825</v>
      </c>
      <c r="FH47" s="29">
        <v>7159</v>
      </c>
      <c r="FI47" s="95">
        <v>45854</v>
      </c>
      <c r="FK47" s="29">
        <v>7159</v>
      </c>
      <c r="FL47" s="95">
        <v>45885</v>
      </c>
      <c r="FN47" s="29">
        <v>7159</v>
      </c>
      <c r="FO47" s="95">
        <v>45916</v>
      </c>
      <c r="FQ47" s="29">
        <v>7159</v>
      </c>
      <c r="FR47" s="95">
        <v>45946</v>
      </c>
      <c r="FT47" s="29">
        <v>7159</v>
      </c>
      <c r="FU47" s="95">
        <v>45977</v>
      </c>
      <c r="FW47" s="29">
        <v>7159</v>
      </c>
      <c r="FX47" s="95">
        <v>46007</v>
      </c>
      <c r="FZ47" s="29">
        <v>7159</v>
      </c>
      <c r="GA47" s="95">
        <v>46038</v>
      </c>
      <c r="GC47" s="29">
        <v>7159</v>
      </c>
      <c r="GD47" s="95">
        <v>46069</v>
      </c>
      <c r="GE47" t="s">
        <v>20</v>
      </c>
      <c r="GF47" s="29">
        <v>7159</v>
      </c>
      <c r="GG47" s="95">
        <v>46097</v>
      </c>
      <c r="GH47" t="s">
        <v>20</v>
      </c>
      <c r="GI47" s="90">
        <v>7159</v>
      </c>
      <c r="GJ47" s="88">
        <v>46128</v>
      </c>
      <c r="GK47" t="s">
        <v>20</v>
      </c>
      <c r="GL47" s="29">
        <v>7159</v>
      </c>
      <c r="GM47" s="95">
        <v>46158</v>
      </c>
      <c r="GN47" t="s">
        <v>20</v>
      </c>
      <c r="GO47" s="29">
        <v>7159</v>
      </c>
      <c r="GP47" s="95">
        <v>46189</v>
      </c>
      <c r="GQ47" t="s">
        <v>20</v>
      </c>
      <c r="GR47" s="29">
        <v>7159</v>
      </c>
      <c r="GS47" s="95">
        <v>46219</v>
      </c>
      <c r="GT47" t="s">
        <v>20</v>
      </c>
      <c r="GU47" s="29">
        <v>7159</v>
      </c>
      <c r="GV47" s="95">
        <v>46250</v>
      </c>
      <c r="GW47" t="s">
        <v>20</v>
      </c>
      <c r="GX47" s="90">
        <v>7159</v>
      </c>
      <c r="GY47" s="88">
        <v>46281</v>
      </c>
      <c r="GZ47" t="s">
        <v>20</v>
      </c>
    </row>
    <row r="48" spans="2:208" x14ac:dyDescent="0.25">
      <c r="R48"/>
      <c r="W48" s="1"/>
      <c r="X48" s="27"/>
      <c r="Y48" s="1"/>
      <c r="Z48" s="27"/>
      <c r="AE48" s="1"/>
      <c r="AR48" s="1"/>
      <c r="AS48" s="27"/>
      <c r="AV48" s="1">
        <v>550</v>
      </c>
      <c r="AW48" s="27">
        <v>44737</v>
      </c>
      <c r="AX48" t="s">
        <v>171</v>
      </c>
      <c r="BF48" s="1">
        <v>378</v>
      </c>
      <c r="BG48" s="89">
        <v>44829</v>
      </c>
      <c r="EP48" s="29">
        <v>7159</v>
      </c>
      <c r="EQ48" s="95">
        <v>45673</v>
      </c>
    </row>
    <row r="49" spans="2:211" x14ac:dyDescent="0.25">
      <c r="B49" t="s">
        <v>71</v>
      </c>
      <c r="C49" s="94"/>
      <c r="D49" s="23" t="s">
        <v>42</v>
      </c>
      <c r="E49" t="s">
        <v>137</v>
      </c>
      <c r="K49" s="1">
        <v>6544</v>
      </c>
      <c r="M49" t="s">
        <v>71</v>
      </c>
      <c r="P49" s="3">
        <f>K49/3</f>
        <v>2181.3333333333335</v>
      </c>
      <c r="Q49" s="3"/>
      <c r="R49" t="s">
        <v>71</v>
      </c>
      <c r="W49" s="1">
        <v>6544</v>
      </c>
      <c r="X49" s="27">
        <v>44471</v>
      </c>
      <c r="Y49" s="1"/>
      <c r="Z49" s="27"/>
      <c r="AD49" s="6" t="s">
        <v>71</v>
      </c>
      <c r="AE49" s="1">
        <v>6544</v>
      </c>
      <c r="AF49" s="27">
        <v>44562</v>
      </c>
      <c r="AO49" s="1">
        <v>6544</v>
      </c>
      <c r="AP49" s="27">
        <v>44655</v>
      </c>
      <c r="AQ49" s="1"/>
      <c r="AR49" s="1"/>
      <c r="AS49" s="27"/>
      <c r="AZ49" s="1">
        <v>6544</v>
      </c>
      <c r="BA49" s="27">
        <v>44743</v>
      </c>
      <c r="BB49" t="s">
        <v>173</v>
      </c>
      <c r="BI49" s="1">
        <v>6544</v>
      </c>
      <c r="BJ49" s="89">
        <v>44836</v>
      </c>
      <c r="BR49" s="92">
        <v>6544</v>
      </c>
      <c r="BS49" s="93">
        <v>44928</v>
      </c>
      <c r="BT49" t="s">
        <v>215</v>
      </c>
      <c r="CA49" s="92">
        <v>6544</v>
      </c>
      <c r="CB49" s="93">
        <v>45018</v>
      </c>
      <c r="CC49" t="s">
        <v>215</v>
      </c>
      <c r="CK49" s="92">
        <v>6544</v>
      </c>
      <c r="CL49" s="93">
        <v>45108</v>
      </c>
      <c r="CM49" t="s">
        <v>215</v>
      </c>
      <c r="CT49" s="92">
        <v>6544</v>
      </c>
      <c r="CU49" s="93">
        <v>45200</v>
      </c>
      <c r="CV49" t="s">
        <v>215</v>
      </c>
      <c r="DC49" s="92">
        <v>6544</v>
      </c>
      <c r="DD49" s="93">
        <v>45293</v>
      </c>
      <c r="DE49" t="s">
        <v>215</v>
      </c>
      <c r="DL49" s="92">
        <v>6544</v>
      </c>
      <c r="DM49" s="93">
        <v>45384</v>
      </c>
      <c r="DN49" t="s">
        <v>215</v>
      </c>
      <c r="DU49" s="92">
        <v>6544</v>
      </c>
      <c r="DV49" s="93">
        <v>45475</v>
      </c>
      <c r="DW49" t="s">
        <v>215</v>
      </c>
      <c r="ED49" s="92">
        <v>6544</v>
      </c>
      <c r="EE49" s="93">
        <v>45566</v>
      </c>
      <c r="EF49" t="s">
        <v>215</v>
      </c>
      <c r="EP49" s="29">
        <v>6544</v>
      </c>
      <c r="EQ49" s="95">
        <v>45658</v>
      </c>
      <c r="ER49" t="s">
        <v>215</v>
      </c>
      <c r="EY49" s="29">
        <v>6544</v>
      </c>
      <c r="EZ49" s="95">
        <v>45749</v>
      </c>
      <c r="FA49" t="s">
        <v>215</v>
      </c>
      <c r="FH49" s="29">
        <v>6544</v>
      </c>
      <c r="FI49" s="95">
        <v>45839</v>
      </c>
      <c r="FJ49" t="s">
        <v>215</v>
      </c>
      <c r="FQ49" s="29">
        <v>6544</v>
      </c>
      <c r="FR49" s="95">
        <v>45931</v>
      </c>
      <c r="FS49" t="s">
        <v>215</v>
      </c>
      <c r="FZ49" s="29">
        <v>6544</v>
      </c>
      <c r="GA49" s="95">
        <v>46023</v>
      </c>
      <c r="GB49" t="s">
        <v>215</v>
      </c>
      <c r="GI49" s="29">
        <v>6544</v>
      </c>
      <c r="GJ49" s="95">
        <v>46114</v>
      </c>
      <c r="GK49" t="s">
        <v>215</v>
      </c>
      <c r="GR49" s="29">
        <v>6544</v>
      </c>
      <c r="GS49" s="95">
        <v>46204</v>
      </c>
      <c r="GT49" t="s">
        <v>215</v>
      </c>
    </row>
    <row r="50" spans="2:211" x14ac:dyDescent="0.25">
      <c r="R50"/>
      <c r="W50" s="1"/>
      <c r="X50" s="27"/>
      <c r="Y50" s="1"/>
      <c r="Z50" s="27"/>
      <c r="AE50" s="1"/>
      <c r="AR50" s="1"/>
      <c r="AS50" s="27"/>
    </row>
    <row r="51" spans="2:211" ht="15.75" x14ac:dyDescent="0.25">
      <c r="B51" t="s">
        <v>71</v>
      </c>
      <c r="C51" s="132" t="s">
        <v>259</v>
      </c>
      <c r="D51" s="23" t="s">
        <v>45</v>
      </c>
      <c r="E51" s="4" t="s">
        <v>3</v>
      </c>
      <c r="F51" s="94" t="s">
        <v>259</v>
      </c>
      <c r="G51" s="77">
        <v>900000</v>
      </c>
      <c r="H51" s="64">
        <v>45654</v>
      </c>
      <c r="I51" s="64">
        <v>47480</v>
      </c>
      <c r="J51" s="67">
        <v>8.2000000000000003E-2</v>
      </c>
      <c r="K51" s="51">
        <v>18450</v>
      </c>
      <c r="M51" s="4" t="s">
        <v>71</v>
      </c>
      <c r="P51" s="1">
        <f>K51</f>
        <v>18450</v>
      </c>
      <c r="Q51" s="1"/>
      <c r="R51" t="s">
        <v>71</v>
      </c>
      <c r="S51" s="1">
        <v>5700</v>
      </c>
      <c r="T51" s="27">
        <v>44435</v>
      </c>
      <c r="U51" s="1">
        <v>5700</v>
      </c>
      <c r="V51" s="27">
        <v>44466</v>
      </c>
      <c r="W51" s="1">
        <v>5700</v>
      </c>
      <c r="X51" s="27">
        <v>44496</v>
      </c>
      <c r="Y51" s="1">
        <v>5700</v>
      </c>
      <c r="Z51" s="27">
        <v>44527</v>
      </c>
      <c r="AA51" s="6" t="s">
        <v>138</v>
      </c>
      <c r="AB51" s="1">
        <v>5700</v>
      </c>
      <c r="AC51" s="27">
        <v>44557</v>
      </c>
      <c r="AE51" s="1">
        <v>5700</v>
      </c>
      <c r="AF51" s="27">
        <v>44588</v>
      </c>
      <c r="AG51" s="1"/>
      <c r="AH51" s="1">
        <v>5700</v>
      </c>
      <c r="AI51" s="27">
        <v>44619</v>
      </c>
      <c r="AJ51" s="31"/>
      <c r="AL51" s="1">
        <v>5700</v>
      </c>
      <c r="AM51" s="27">
        <v>44647</v>
      </c>
      <c r="AO51" s="1">
        <v>5700</v>
      </c>
      <c r="AP51" s="27">
        <v>44678</v>
      </c>
      <c r="AQ51" s="1"/>
      <c r="AR51" s="86">
        <v>5700</v>
      </c>
      <c r="AS51" s="27">
        <v>44708</v>
      </c>
      <c r="AV51" s="1">
        <v>5700</v>
      </c>
      <c r="AW51" s="27">
        <v>44739</v>
      </c>
      <c r="AZ51" s="1">
        <v>5700</v>
      </c>
      <c r="BA51" s="27">
        <v>44769</v>
      </c>
      <c r="BC51" s="1">
        <v>5700</v>
      </c>
      <c r="BD51" s="27">
        <v>44800</v>
      </c>
      <c r="BF51" s="1">
        <v>5700</v>
      </c>
      <c r="BG51" s="89">
        <v>44831</v>
      </c>
      <c r="BI51" s="1">
        <v>5700</v>
      </c>
      <c r="BJ51" s="89">
        <v>44861</v>
      </c>
      <c r="BL51" s="90">
        <v>5700</v>
      </c>
      <c r="BM51" s="91">
        <v>44892</v>
      </c>
      <c r="BO51" s="92">
        <v>5700</v>
      </c>
      <c r="BP51" s="93">
        <v>44922</v>
      </c>
      <c r="BR51" s="92">
        <v>5700</v>
      </c>
      <c r="BS51" s="93">
        <v>44953</v>
      </c>
      <c r="BU51" s="92">
        <v>5700</v>
      </c>
      <c r="BV51" s="93">
        <v>44984</v>
      </c>
      <c r="BX51" s="92">
        <v>5700</v>
      </c>
      <c r="BY51" s="93">
        <v>45012</v>
      </c>
      <c r="CA51" s="92">
        <v>5700</v>
      </c>
      <c r="CB51" s="93">
        <v>45043</v>
      </c>
      <c r="CD51" s="92">
        <v>5700</v>
      </c>
      <c r="CE51" s="93">
        <v>45073</v>
      </c>
      <c r="CH51" s="92">
        <v>5700</v>
      </c>
      <c r="CI51" s="93">
        <v>45104</v>
      </c>
      <c r="CK51" s="92">
        <v>5700</v>
      </c>
      <c r="CL51" s="93">
        <v>45134</v>
      </c>
      <c r="CN51" s="92">
        <v>5700</v>
      </c>
      <c r="CO51" s="93">
        <v>45165</v>
      </c>
      <c r="CQ51" s="92">
        <v>5700</v>
      </c>
      <c r="CR51" s="93">
        <v>45196</v>
      </c>
      <c r="CT51" s="92">
        <v>5700</v>
      </c>
      <c r="CU51" s="93">
        <v>45226</v>
      </c>
      <c r="CW51" s="92">
        <v>5700</v>
      </c>
      <c r="CX51" s="93">
        <v>45257</v>
      </c>
      <c r="CZ51" s="92">
        <v>5700</v>
      </c>
      <c r="DA51" s="93">
        <v>45287</v>
      </c>
      <c r="DC51" s="92">
        <v>5700</v>
      </c>
      <c r="DD51" s="93">
        <v>45318</v>
      </c>
      <c r="DF51" s="92">
        <v>5700</v>
      </c>
      <c r="DG51" s="93">
        <v>45349</v>
      </c>
      <c r="DI51" s="92">
        <v>5700</v>
      </c>
      <c r="DJ51" s="93">
        <v>45378</v>
      </c>
      <c r="DL51" s="92">
        <v>5700</v>
      </c>
      <c r="DM51" s="93">
        <v>45409</v>
      </c>
      <c r="DO51" s="29">
        <v>5700</v>
      </c>
      <c r="DP51" s="123">
        <v>45439</v>
      </c>
      <c r="DR51" s="29">
        <v>5700</v>
      </c>
      <c r="DS51" s="123">
        <v>45470</v>
      </c>
      <c r="DU51" s="92">
        <v>5700</v>
      </c>
      <c r="DV51" s="93">
        <v>45500</v>
      </c>
      <c r="DX51" s="29">
        <v>5700</v>
      </c>
      <c r="DY51" s="125">
        <v>45531</v>
      </c>
      <c r="EA51" s="29">
        <v>5700</v>
      </c>
      <c r="EB51" s="125">
        <v>45562</v>
      </c>
      <c r="ED51" s="29">
        <v>5700</v>
      </c>
      <c r="EE51" s="125">
        <v>45592</v>
      </c>
      <c r="EG51" s="29">
        <v>5700</v>
      </c>
      <c r="EH51" s="93">
        <v>45623</v>
      </c>
      <c r="EJ51" s="29">
        <v>5700</v>
      </c>
      <c r="EK51" s="93">
        <v>45653</v>
      </c>
      <c r="EL51" t="s">
        <v>264</v>
      </c>
      <c r="EP51" s="1">
        <v>0</v>
      </c>
      <c r="ES51" s="1">
        <v>0</v>
      </c>
      <c r="EY51" s="29">
        <v>18450</v>
      </c>
      <c r="EZ51" s="95">
        <v>45749</v>
      </c>
      <c r="FA51" t="s">
        <v>215</v>
      </c>
      <c r="FH51" s="29">
        <v>18450</v>
      </c>
      <c r="FI51" s="95">
        <v>45840</v>
      </c>
      <c r="FJ51" t="s">
        <v>215</v>
      </c>
      <c r="FN51" s="29">
        <v>18450</v>
      </c>
      <c r="FO51" s="95">
        <v>45930</v>
      </c>
      <c r="FP51" t="s">
        <v>215</v>
      </c>
      <c r="FZ51" s="29">
        <v>18450</v>
      </c>
      <c r="GA51" s="95">
        <v>46023</v>
      </c>
      <c r="GB51" t="s">
        <v>215</v>
      </c>
      <c r="GI51" s="29">
        <v>18450</v>
      </c>
      <c r="GJ51" s="95">
        <v>46115</v>
      </c>
      <c r="GK51" t="s">
        <v>215</v>
      </c>
      <c r="GR51" s="29">
        <v>18450</v>
      </c>
      <c r="GS51" s="95">
        <v>46204</v>
      </c>
      <c r="GT51" t="s">
        <v>215</v>
      </c>
      <c r="HA51" s="90">
        <v>18450</v>
      </c>
      <c r="HB51" s="88">
        <v>46296</v>
      </c>
      <c r="HC51" t="s">
        <v>215</v>
      </c>
    </row>
    <row r="52" spans="2:211" ht="15.75" x14ac:dyDescent="0.25">
      <c r="B52" t="s">
        <v>20</v>
      </c>
      <c r="C52" s="132" t="s">
        <v>277</v>
      </c>
      <c r="D52" s="23" t="s">
        <v>45</v>
      </c>
      <c r="E52" s="4" t="s">
        <v>44</v>
      </c>
      <c r="F52" s="94" t="s">
        <v>277</v>
      </c>
      <c r="G52" s="77">
        <v>500000</v>
      </c>
      <c r="H52" s="64">
        <v>45974</v>
      </c>
      <c r="I52" s="64">
        <v>47800</v>
      </c>
      <c r="J52" s="67">
        <v>7.3999999999999996E-2</v>
      </c>
      <c r="K52" s="51">
        <v>3083</v>
      </c>
      <c r="M52" t="s">
        <v>20</v>
      </c>
      <c r="P52" s="1"/>
      <c r="Q52" s="1"/>
      <c r="R52"/>
      <c r="S52" s="1"/>
      <c r="T52" s="27"/>
      <c r="U52" s="1"/>
      <c r="V52" s="27"/>
      <c r="W52" s="1"/>
      <c r="X52" s="27"/>
      <c r="Y52" s="1"/>
      <c r="Z52" s="27"/>
      <c r="AB52" s="1"/>
      <c r="AC52" s="27"/>
      <c r="AE52" s="1"/>
      <c r="AF52" s="27"/>
      <c r="AG52" s="1"/>
      <c r="AH52" s="1"/>
      <c r="AI52" s="27"/>
      <c r="AJ52" s="31"/>
      <c r="AL52" s="1"/>
      <c r="AM52" s="27"/>
      <c r="AO52" s="1"/>
      <c r="AP52" s="27"/>
      <c r="AQ52" s="1"/>
      <c r="AR52" s="86"/>
      <c r="AS52" s="27"/>
      <c r="AV52" s="1"/>
      <c r="AW52" s="27"/>
      <c r="AZ52" s="1"/>
      <c r="BA52" s="27"/>
      <c r="BC52" s="1"/>
      <c r="BD52" s="27"/>
      <c r="BF52" s="1"/>
      <c r="BG52" s="89"/>
      <c r="BI52" s="1"/>
      <c r="BJ52" s="89"/>
      <c r="BL52" s="90"/>
      <c r="BM52" s="91"/>
      <c r="BO52" s="92"/>
      <c r="BP52" s="93"/>
      <c r="BR52" s="92"/>
      <c r="BS52" s="93"/>
      <c r="BU52" s="92"/>
      <c r="BV52" s="93"/>
      <c r="BX52" s="92"/>
      <c r="BY52" s="93"/>
      <c r="CA52" s="92"/>
      <c r="CB52" s="93"/>
      <c r="CD52" s="92"/>
      <c r="CE52" s="93"/>
      <c r="CH52" s="92"/>
      <c r="CI52" s="93"/>
      <c r="CK52" s="92"/>
      <c r="CL52" s="93"/>
      <c r="CN52" s="92"/>
      <c r="CO52" s="93"/>
      <c r="CQ52" s="92"/>
      <c r="CR52" s="93"/>
      <c r="CT52" s="92"/>
      <c r="CU52" s="93"/>
      <c r="CW52" s="92"/>
      <c r="CX52" s="93"/>
      <c r="CZ52" s="92"/>
      <c r="DA52" s="93"/>
      <c r="DC52" s="92"/>
      <c r="DD52" s="93"/>
      <c r="DF52" s="92"/>
      <c r="DG52" s="93"/>
      <c r="DI52" s="92"/>
      <c r="DJ52" s="93"/>
      <c r="DL52" s="92"/>
      <c r="DM52" s="93"/>
      <c r="DO52" s="29"/>
      <c r="DP52" s="123"/>
      <c r="DR52" s="29"/>
      <c r="DS52" s="123"/>
      <c r="DU52" s="92"/>
      <c r="DV52" s="93"/>
      <c r="DX52" s="29"/>
      <c r="DY52" s="125"/>
      <c r="EA52" s="29"/>
      <c r="EB52" s="125"/>
      <c r="ED52" s="29"/>
      <c r="EE52" s="125"/>
      <c r="EG52" s="29"/>
      <c r="EH52" s="93"/>
      <c r="EJ52" s="29"/>
      <c r="EK52" s="93"/>
      <c r="EP52" s="1"/>
      <c r="ES52" s="1"/>
      <c r="EY52" s="29"/>
      <c r="EZ52" s="95"/>
      <c r="FW52" s="29">
        <v>3083</v>
      </c>
      <c r="FX52" s="95">
        <v>46004</v>
      </c>
      <c r="FY52" t="s">
        <v>20</v>
      </c>
      <c r="FZ52" s="29">
        <v>3084</v>
      </c>
      <c r="GA52" s="95">
        <v>46035</v>
      </c>
      <c r="GB52" t="s">
        <v>20</v>
      </c>
      <c r="GC52" s="29">
        <v>3083</v>
      </c>
      <c r="GD52" s="95">
        <v>46066</v>
      </c>
      <c r="GE52" t="s">
        <v>20</v>
      </c>
      <c r="GF52" s="29">
        <v>3083</v>
      </c>
      <c r="GG52" s="95">
        <v>46094</v>
      </c>
      <c r="GH52" t="s">
        <v>20</v>
      </c>
      <c r="GI52" s="29">
        <v>3084</v>
      </c>
      <c r="GJ52" s="95">
        <v>46125</v>
      </c>
      <c r="GK52" t="s">
        <v>20</v>
      </c>
      <c r="GL52" s="29">
        <v>3083</v>
      </c>
      <c r="GM52" s="95">
        <v>46155</v>
      </c>
      <c r="GN52" t="s">
        <v>20</v>
      </c>
      <c r="GO52" s="29">
        <v>3083</v>
      </c>
      <c r="GP52" s="95">
        <v>46186</v>
      </c>
      <c r="GQ52" t="s">
        <v>20</v>
      </c>
      <c r="GR52" s="29">
        <v>3084</v>
      </c>
      <c r="GS52" s="95">
        <v>46216</v>
      </c>
      <c r="GT52" t="s">
        <v>20</v>
      </c>
      <c r="GU52" s="29">
        <v>3083</v>
      </c>
      <c r="GV52" s="95">
        <v>46247</v>
      </c>
      <c r="GW52" t="s">
        <v>20</v>
      </c>
      <c r="GX52" s="90">
        <v>3083</v>
      </c>
      <c r="GY52" s="88">
        <v>46278</v>
      </c>
      <c r="GZ52" t="s">
        <v>20</v>
      </c>
    </row>
    <row r="53" spans="2:211" ht="15.75" x14ac:dyDescent="0.25">
      <c r="B53" t="s">
        <v>20</v>
      </c>
      <c r="C53" s="132" t="s">
        <v>278</v>
      </c>
      <c r="D53" s="23" t="s">
        <v>45</v>
      </c>
      <c r="E53" s="4" t="s">
        <v>44</v>
      </c>
      <c r="F53" s="94" t="s">
        <v>278</v>
      </c>
      <c r="G53" s="77">
        <v>600000</v>
      </c>
      <c r="H53" s="64">
        <v>45975</v>
      </c>
      <c r="I53" s="64">
        <v>47801</v>
      </c>
      <c r="J53" s="67">
        <v>7.3999999999999996E-2</v>
      </c>
      <c r="K53" s="51">
        <v>3700</v>
      </c>
      <c r="M53" t="s">
        <v>20</v>
      </c>
      <c r="P53" s="1"/>
      <c r="Q53" s="1"/>
      <c r="R53"/>
      <c r="S53" s="1"/>
      <c r="T53" s="27"/>
      <c r="U53" s="1"/>
      <c r="V53" s="27"/>
      <c r="W53" s="1"/>
      <c r="X53" s="27"/>
      <c r="Y53" s="1"/>
      <c r="Z53" s="27"/>
      <c r="AB53" s="1"/>
      <c r="AC53" s="27"/>
      <c r="AE53" s="1"/>
      <c r="AF53" s="27"/>
      <c r="AG53" s="1"/>
      <c r="AH53" s="1"/>
      <c r="AI53" s="27"/>
      <c r="AJ53" s="31"/>
      <c r="AL53" s="1"/>
      <c r="AM53" s="27"/>
      <c r="AO53" s="1"/>
      <c r="AP53" s="27"/>
      <c r="AQ53" s="1"/>
      <c r="AR53" s="86"/>
      <c r="AS53" s="27"/>
      <c r="AV53" s="1"/>
      <c r="AW53" s="27"/>
      <c r="AZ53" s="1"/>
      <c r="BA53" s="27"/>
      <c r="BC53" s="1"/>
      <c r="BD53" s="27"/>
      <c r="BF53" s="1"/>
      <c r="BG53" s="89"/>
      <c r="BI53" s="1"/>
      <c r="BJ53" s="89"/>
      <c r="BL53" s="90"/>
      <c r="BM53" s="91"/>
      <c r="BO53" s="92"/>
      <c r="BP53" s="93"/>
      <c r="BR53" s="92"/>
      <c r="BS53" s="93"/>
      <c r="BU53" s="92"/>
      <c r="BV53" s="93"/>
      <c r="BX53" s="92"/>
      <c r="BY53" s="93"/>
      <c r="CA53" s="92"/>
      <c r="CB53" s="93"/>
      <c r="CD53" s="92"/>
      <c r="CE53" s="93"/>
      <c r="CH53" s="92"/>
      <c r="CI53" s="93"/>
      <c r="CK53" s="92"/>
      <c r="CL53" s="93"/>
      <c r="CN53" s="92"/>
      <c r="CO53" s="93"/>
      <c r="CQ53" s="92"/>
      <c r="CR53" s="93"/>
      <c r="CT53" s="92"/>
      <c r="CU53" s="93"/>
      <c r="CW53" s="92"/>
      <c r="CX53" s="93"/>
      <c r="CZ53" s="92"/>
      <c r="DA53" s="93"/>
      <c r="DC53" s="92"/>
      <c r="DD53" s="93"/>
      <c r="DF53" s="92"/>
      <c r="DG53" s="93"/>
      <c r="DI53" s="92"/>
      <c r="DJ53" s="93"/>
      <c r="DL53" s="92"/>
      <c r="DM53" s="93"/>
      <c r="DO53" s="29"/>
      <c r="DP53" s="123"/>
      <c r="DR53" s="29"/>
      <c r="DS53" s="123"/>
      <c r="DU53" s="92"/>
      <c r="DV53" s="93"/>
      <c r="DX53" s="29"/>
      <c r="DY53" s="125"/>
      <c r="EA53" s="29"/>
      <c r="EB53" s="125"/>
      <c r="ED53" s="29"/>
      <c r="EE53" s="125"/>
      <c r="EG53" s="29"/>
      <c r="EH53" s="93"/>
      <c r="EJ53" s="29"/>
      <c r="EK53" s="93"/>
      <c r="EP53" s="1"/>
      <c r="ES53" s="1"/>
      <c r="EY53" s="29"/>
      <c r="EZ53" s="95"/>
      <c r="FW53" s="29">
        <v>3700</v>
      </c>
      <c r="FX53" s="95">
        <v>46005</v>
      </c>
      <c r="FY53" t="s">
        <v>20</v>
      </c>
      <c r="FZ53" s="29">
        <v>3700</v>
      </c>
      <c r="GA53" s="95">
        <v>46036</v>
      </c>
      <c r="GB53" t="s">
        <v>20</v>
      </c>
      <c r="GC53" s="29">
        <v>3700</v>
      </c>
      <c r="GD53" s="95">
        <v>46067</v>
      </c>
      <c r="GE53" t="s">
        <v>20</v>
      </c>
      <c r="GF53" s="29">
        <v>3700</v>
      </c>
      <c r="GG53" s="95">
        <v>46095</v>
      </c>
      <c r="GH53" t="s">
        <v>20</v>
      </c>
      <c r="GI53" s="29">
        <v>3700</v>
      </c>
      <c r="GJ53" s="95">
        <v>46126</v>
      </c>
      <c r="GK53" t="s">
        <v>20</v>
      </c>
      <c r="GL53" s="29">
        <v>3700</v>
      </c>
      <c r="GM53" s="95">
        <v>46156</v>
      </c>
      <c r="GN53" t="s">
        <v>20</v>
      </c>
      <c r="GO53" s="29">
        <v>3700</v>
      </c>
      <c r="GP53" s="95">
        <v>46187</v>
      </c>
      <c r="GQ53" t="s">
        <v>20</v>
      </c>
      <c r="GR53" s="29">
        <v>3700</v>
      </c>
      <c r="GS53" s="95">
        <v>46217</v>
      </c>
      <c r="GT53" t="s">
        <v>20</v>
      </c>
      <c r="GU53" s="29">
        <v>3700</v>
      </c>
      <c r="GV53" s="95">
        <v>46248</v>
      </c>
      <c r="GW53" t="s">
        <v>20</v>
      </c>
      <c r="GX53" s="90">
        <v>3700</v>
      </c>
      <c r="GY53" s="88">
        <v>46279</v>
      </c>
      <c r="GZ53" t="s">
        <v>20</v>
      </c>
    </row>
    <row r="54" spans="2:211" ht="15.75" x14ac:dyDescent="0.25">
      <c r="B54" t="s">
        <v>20</v>
      </c>
      <c r="C54" s="138" t="s">
        <v>279</v>
      </c>
      <c r="D54" s="23" t="s">
        <v>45</v>
      </c>
      <c r="E54" s="4" t="s">
        <v>44</v>
      </c>
      <c r="F54" s="94" t="s">
        <v>279</v>
      </c>
      <c r="G54" s="77">
        <v>250000</v>
      </c>
      <c r="H54" s="64">
        <v>45985</v>
      </c>
      <c r="I54" s="64">
        <v>11286</v>
      </c>
      <c r="J54" s="67">
        <v>7.400000000000001E-2</v>
      </c>
      <c r="K54" s="51">
        <v>1542</v>
      </c>
      <c r="M54" t="s">
        <v>20</v>
      </c>
      <c r="AR54" s="1"/>
      <c r="AS54" s="27"/>
      <c r="EV54" s="29">
        <v>1401</v>
      </c>
      <c r="EW54" s="95">
        <v>45747</v>
      </c>
      <c r="EX54" t="s">
        <v>140</v>
      </c>
      <c r="FW54" s="29">
        <v>1542</v>
      </c>
      <c r="FX54" s="95">
        <v>46015</v>
      </c>
      <c r="FY54" t="s">
        <v>20</v>
      </c>
      <c r="FZ54" s="29">
        <v>1541</v>
      </c>
      <c r="GA54" s="95">
        <v>46046</v>
      </c>
      <c r="GB54" t="s">
        <v>20</v>
      </c>
      <c r="GC54" s="29">
        <v>1542</v>
      </c>
      <c r="GD54" s="95">
        <v>46077</v>
      </c>
      <c r="GE54" t="s">
        <v>20</v>
      </c>
      <c r="GF54" s="29">
        <v>1542</v>
      </c>
      <c r="GG54" s="95">
        <v>46105</v>
      </c>
      <c r="GH54" t="s">
        <v>20</v>
      </c>
      <c r="GI54" s="29">
        <v>1541</v>
      </c>
      <c r="GJ54" s="95">
        <v>46136</v>
      </c>
      <c r="GK54" t="s">
        <v>20</v>
      </c>
      <c r="GL54" s="29">
        <v>1542</v>
      </c>
      <c r="GM54" s="95">
        <v>46165</v>
      </c>
      <c r="GN54" t="s">
        <v>20</v>
      </c>
      <c r="GO54" s="29">
        <v>1542</v>
      </c>
      <c r="GP54" s="95">
        <v>46196</v>
      </c>
      <c r="GQ54" t="s">
        <v>20</v>
      </c>
      <c r="GR54" s="90">
        <v>1542</v>
      </c>
      <c r="GS54" s="88">
        <v>46226</v>
      </c>
      <c r="GT54" t="s">
        <v>20</v>
      </c>
      <c r="GU54" s="29">
        <v>1542</v>
      </c>
      <c r="GV54" s="95">
        <v>46258</v>
      </c>
      <c r="GW54" t="s">
        <v>20</v>
      </c>
      <c r="GX54" s="90">
        <v>1542</v>
      </c>
      <c r="GY54" s="88">
        <v>46289</v>
      </c>
      <c r="GZ54" t="s">
        <v>20</v>
      </c>
    </row>
    <row r="55" spans="2:211" ht="15.75" x14ac:dyDescent="0.25">
      <c r="B55" t="s">
        <v>20</v>
      </c>
      <c r="C55" s="138" t="s">
        <v>288</v>
      </c>
      <c r="D55" s="23" t="s">
        <v>45</v>
      </c>
      <c r="E55" s="4" t="s">
        <v>44</v>
      </c>
      <c r="F55" s="143" t="s">
        <v>288</v>
      </c>
      <c r="G55" s="77">
        <v>150000</v>
      </c>
      <c r="H55" s="64">
        <v>46107</v>
      </c>
      <c r="I55" s="64">
        <v>47933</v>
      </c>
      <c r="J55" s="67">
        <v>7.400000000000001E-2</v>
      </c>
      <c r="K55" s="51">
        <v>925</v>
      </c>
      <c r="M55" t="s">
        <v>20</v>
      </c>
      <c r="AR55" s="1"/>
      <c r="AS55" s="27"/>
      <c r="EV55" s="29"/>
      <c r="EW55" s="95"/>
      <c r="GI55" s="29">
        <v>925</v>
      </c>
      <c r="GJ55" s="95">
        <v>46138</v>
      </c>
      <c r="GK55" t="s">
        <v>20</v>
      </c>
      <c r="GL55" s="29">
        <v>925</v>
      </c>
      <c r="GM55" s="95">
        <v>46168</v>
      </c>
      <c r="GN55" t="s">
        <v>20</v>
      </c>
      <c r="GO55" s="29">
        <v>925</v>
      </c>
      <c r="GP55" s="95">
        <v>46199</v>
      </c>
      <c r="GQ55" t="s">
        <v>20</v>
      </c>
      <c r="GR55" s="90">
        <v>925</v>
      </c>
      <c r="GS55" s="88">
        <v>46229</v>
      </c>
      <c r="GT55" t="s">
        <v>20</v>
      </c>
      <c r="GU55" s="29">
        <v>925</v>
      </c>
      <c r="GV55" s="95">
        <v>46259</v>
      </c>
      <c r="GW55" t="s">
        <v>20</v>
      </c>
      <c r="GX55" s="90">
        <v>925</v>
      </c>
      <c r="GY55" s="88">
        <v>46290</v>
      </c>
      <c r="GZ55" t="s">
        <v>20</v>
      </c>
    </row>
    <row r="56" spans="2:211" ht="15.75" x14ac:dyDescent="0.25">
      <c r="B56" s="33" t="s">
        <v>281</v>
      </c>
      <c r="C56" s="144" t="s">
        <v>280</v>
      </c>
      <c r="D56" s="145" t="s">
        <v>45</v>
      </c>
      <c r="E56" s="33" t="s">
        <v>281</v>
      </c>
      <c r="F56" s="146" t="s">
        <v>280</v>
      </c>
      <c r="G56" s="147">
        <v>30000</v>
      </c>
      <c r="H56" s="148">
        <v>44286</v>
      </c>
      <c r="I56" s="148">
        <v>46112</v>
      </c>
      <c r="J56" s="67"/>
      <c r="K56" s="149">
        <v>41712</v>
      </c>
      <c r="L56" s="26" t="s">
        <v>146</v>
      </c>
      <c r="AR56" s="1"/>
      <c r="AS56" s="27"/>
      <c r="EV56" s="29"/>
      <c r="EW56" s="95"/>
      <c r="GI56" s="29">
        <v>41712</v>
      </c>
      <c r="GJ56" s="95">
        <v>46118</v>
      </c>
      <c r="GK56" s="26" t="s">
        <v>290</v>
      </c>
    </row>
    <row r="57" spans="2:211" ht="15.75" x14ac:dyDescent="0.25">
      <c r="B57" s="141"/>
      <c r="C57" s="138"/>
      <c r="D57" s="23"/>
      <c r="E57" s="142"/>
      <c r="F57" s="94"/>
      <c r="G57" s="163">
        <f>SUM(G51:G55)</f>
        <v>2400000</v>
      </c>
      <c r="H57" s="64"/>
      <c r="I57" s="64"/>
      <c r="J57" s="67"/>
      <c r="K57" s="51"/>
      <c r="AR57" s="1"/>
      <c r="AS57" s="27"/>
      <c r="EV57" s="29"/>
      <c r="EW57" s="95"/>
      <c r="GI57" s="29">
        <v>1664</v>
      </c>
      <c r="GJ57" s="95">
        <v>46112</v>
      </c>
      <c r="GK57" t="s">
        <v>289</v>
      </c>
    </row>
    <row r="58" spans="2:211" ht="15.75" x14ac:dyDescent="0.25">
      <c r="B58" s="141"/>
      <c r="C58" s="138"/>
      <c r="D58" s="23"/>
      <c r="E58" s="142"/>
      <c r="F58" s="94"/>
      <c r="G58" s="77"/>
      <c r="H58" s="64"/>
      <c r="I58" s="64"/>
      <c r="J58" s="67"/>
      <c r="K58" s="51"/>
      <c r="AR58" s="1"/>
      <c r="AS58" s="27"/>
      <c r="EV58" s="29"/>
      <c r="EW58" s="95"/>
    </row>
    <row r="59" spans="2:211" x14ac:dyDescent="0.25">
      <c r="P59" s="51">
        <f>SUM(P5:P51)</f>
        <v>68929.333333333343</v>
      </c>
      <c r="Q59" s="51"/>
      <c r="U59" s="51">
        <f>SUM(U18:U51)</f>
        <v>28474</v>
      </c>
      <c r="W59" s="51">
        <f>SUM(W5:W51)</f>
        <v>34942</v>
      </c>
      <c r="Y59" s="51">
        <f>SUM(Y5:Y51)</f>
        <v>74790</v>
      </c>
      <c r="AB59" s="51">
        <f>SUM(AB5:AB51)</f>
        <v>60648</v>
      </c>
      <c r="AE59" s="51">
        <f>SUM(AE5:AE51)</f>
        <v>35815</v>
      </c>
      <c r="AH59" s="51">
        <f>SUM(AH5:AH51)</f>
        <v>74790</v>
      </c>
      <c r="AL59" s="51">
        <f>SUM(AL5:AL51)</f>
        <v>139571.19</v>
      </c>
      <c r="AO59" s="51">
        <f>SUM(AO5:AO51)</f>
        <v>35018</v>
      </c>
      <c r="AR59" s="51">
        <f>SUM(AR5:AR51)</f>
        <v>70544</v>
      </c>
      <c r="AS59" s="27"/>
      <c r="AV59" s="51">
        <f>SUM(AV5:AV51)</f>
        <v>58195</v>
      </c>
      <c r="AZ59" s="51">
        <f>SUM(AZ5:AZ51)</f>
        <v>28096</v>
      </c>
      <c r="BC59" s="51">
        <f>SUM(BC5:BC51)</f>
        <v>65182.68</v>
      </c>
      <c r="BF59" s="51">
        <f>SUM(BF5:BF51)</f>
        <v>75055.58</v>
      </c>
      <c r="BI59" s="51">
        <f>SUM(BI5:BI51)</f>
        <v>30189</v>
      </c>
      <c r="BL59" s="51">
        <f>SUM(BL5:BL51)</f>
        <v>72110</v>
      </c>
      <c r="BO59" s="51">
        <f>SUM(BO5:BO51)</f>
        <v>74546</v>
      </c>
      <c r="BR59" s="51">
        <f>SUM(BR5:BR51)</f>
        <v>29425</v>
      </c>
      <c r="BU59" s="51">
        <f>SUM(BU5:BU51)</f>
        <v>72395</v>
      </c>
      <c r="BX59" s="51">
        <f>SUM(BX5:BX51)</f>
        <v>74871</v>
      </c>
      <c r="CA59" s="51">
        <f>SUM(CA5:CA51)</f>
        <v>33139</v>
      </c>
      <c r="CD59" s="51">
        <f>SUM(CD5:CD51)</f>
        <v>70850</v>
      </c>
      <c r="CH59" s="51">
        <f>SUM(CH5:CH51)</f>
        <v>71718</v>
      </c>
      <c r="CK59" s="51">
        <f>SUM(CK5:CK51)</f>
        <v>39243</v>
      </c>
      <c r="CN59" s="51">
        <f>SUM(CN5:CN51)</f>
        <v>68406.8</v>
      </c>
      <c r="CQ59" s="51">
        <f>SUM(CQ5:CQ51)</f>
        <v>76379</v>
      </c>
      <c r="CT59" s="51">
        <f>SUM(CT5:CT51)</f>
        <v>35257</v>
      </c>
      <c r="CW59" s="51">
        <f>SUM(CW5:CW51)</f>
        <v>77822</v>
      </c>
      <c r="CZ59" s="51">
        <f>SUM(CZ5:CZ51)</f>
        <v>76343</v>
      </c>
      <c r="DC59" s="51">
        <f>SUM(DC5:DC51)</f>
        <v>35558</v>
      </c>
      <c r="DF59" s="51">
        <f>SUM(DF5:DF51)</f>
        <v>77747</v>
      </c>
      <c r="DI59" s="51">
        <f>SUM(DI5:DI51)</f>
        <v>77219</v>
      </c>
      <c r="DL59" s="51">
        <f>SUM(DL5:DL51)</f>
        <v>32322</v>
      </c>
      <c r="DO59" s="51">
        <f>SUM(DO5:DO51)</f>
        <v>76913</v>
      </c>
      <c r="DR59" s="51">
        <f>SUM(DR5:DR51)</f>
        <v>80785</v>
      </c>
      <c r="DU59" s="51">
        <f>SUM(DU5:DU51)</f>
        <v>35349</v>
      </c>
      <c r="DX59" s="51">
        <f>SUM(DX5:DX51)</f>
        <v>93444</v>
      </c>
      <c r="EA59" s="51">
        <f>SUM(EA5:EA51)</f>
        <v>81393</v>
      </c>
      <c r="ED59" s="51">
        <f>SUM(ED5:ED51)</f>
        <v>35775</v>
      </c>
      <c r="EG59" s="51">
        <f>SUM(EG5:EG51)</f>
        <v>78148</v>
      </c>
      <c r="EJ59" s="51">
        <f>SUM(EJ5:EJ51)-EJ47</f>
        <v>74690</v>
      </c>
      <c r="EL59" s="51">
        <f>SUM(DC59:EJ59)</f>
        <v>779343</v>
      </c>
      <c r="EP59" s="51">
        <f>SUM(EP5:EP51)</f>
        <v>37685</v>
      </c>
      <c r="ES59" s="51">
        <f>SUM(ES5:ES51)</f>
        <v>72488</v>
      </c>
      <c r="EV59" s="51">
        <f>SUM(EV5:EV54)</f>
        <v>79627</v>
      </c>
      <c r="EY59" s="51">
        <f>SUM(EY5:EY51)</f>
        <v>48633</v>
      </c>
      <c r="FB59" s="51">
        <f>SUM(FB5:FB51)</f>
        <v>70926</v>
      </c>
      <c r="FE59" s="51">
        <f>SUM(FE5:FE51)</f>
        <v>77943</v>
      </c>
      <c r="FH59" s="51">
        <f>SUM(FH5:FH51)</f>
        <v>48656</v>
      </c>
      <c r="FK59" s="51">
        <f>SUM(FK5:FK51)</f>
        <v>72398</v>
      </c>
      <c r="FN59" s="51">
        <f>SUM(FN5:FN51)</f>
        <v>96153</v>
      </c>
      <c r="FQ59" s="51">
        <f>SUM(FQ5:FQ51)</f>
        <v>30062</v>
      </c>
      <c r="FT59" s="51">
        <f>SUM(FT5:FT56)</f>
        <v>72278</v>
      </c>
      <c r="FW59" s="51">
        <f>SUM(FW5:FW56)</f>
        <v>87601</v>
      </c>
      <c r="FZ59" s="51">
        <f>SUM(FZ5:FZ56)</f>
        <v>56910</v>
      </c>
      <c r="GC59" s="51">
        <f>SUM(GC5:GC56)</f>
        <v>60171</v>
      </c>
      <c r="GF59" s="51">
        <f>SUM(GF5:GF56)</f>
        <v>92309</v>
      </c>
      <c r="GI59" s="51">
        <f>SUM(GI5:GI58)</f>
        <v>96846</v>
      </c>
      <c r="GL59" s="51">
        <f>SUM(GL5:GL58)</f>
        <v>60124</v>
      </c>
      <c r="GO59" s="51">
        <f>SUM(GO5:GO58)</f>
        <v>95560</v>
      </c>
      <c r="GR59" s="51">
        <f>SUM(GR5:GR58)</f>
        <v>50536</v>
      </c>
      <c r="GU59" s="51">
        <f>SUM(GU5:GU58)</f>
        <v>57706</v>
      </c>
      <c r="GX59" s="51">
        <f>SUM(GX5:GX58)</f>
        <v>109766</v>
      </c>
    </row>
    <row r="60" spans="2:211" ht="15.75" x14ac:dyDescent="0.25">
      <c r="G60" s="139">
        <f>G15+G32+G39+G57</f>
        <v>9008663</v>
      </c>
      <c r="W60" s="1"/>
    </row>
    <row r="61" spans="2:211" x14ac:dyDescent="0.25">
      <c r="G61" s="1"/>
      <c r="W61" s="1">
        <f>W59-W49</f>
        <v>28398</v>
      </c>
      <c r="Y61" s="1"/>
      <c r="AB61" s="1"/>
      <c r="BU61" s="1">
        <f>SUM(BU24:BU25,BU35,BU42,BU45)</f>
        <v>23697</v>
      </c>
      <c r="CD61" s="1"/>
      <c r="EJ61" s="1"/>
      <c r="EN61" s="1"/>
      <c r="FH61" s="1"/>
      <c r="GI61" s="1"/>
      <c r="GR61" s="1"/>
    </row>
    <row r="62" spans="2:211" ht="18.75" x14ac:dyDescent="0.3">
      <c r="C62" t="s">
        <v>135</v>
      </c>
      <c r="F62" s="4" t="s">
        <v>135</v>
      </c>
      <c r="G62" s="140">
        <f>Summary!D70</f>
        <v>109512.53</v>
      </c>
      <c r="H62" s="68">
        <f>Summary!E62</f>
        <v>46270</v>
      </c>
      <c r="K62" s="1"/>
      <c r="Y62" s="1"/>
      <c r="BU62" s="1">
        <f>BU59-BU61</f>
        <v>48698</v>
      </c>
      <c r="CD62" s="1"/>
      <c r="DL62" s="1"/>
      <c r="ED62" s="1"/>
      <c r="EY62" s="1"/>
      <c r="GI62" s="1"/>
      <c r="GR62" s="1"/>
    </row>
    <row r="63" spans="2:211" x14ac:dyDescent="0.25">
      <c r="G63" s="1"/>
      <c r="EY63" s="1"/>
      <c r="FN63" s="1"/>
      <c r="GT63" t="s">
        <v>325</v>
      </c>
      <c r="GU63">
        <v>15720</v>
      </c>
    </row>
    <row r="64" spans="2:211" ht="15.75" x14ac:dyDescent="0.25">
      <c r="G64" s="139">
        <f>SUM(G60:G62)</f>
        <v>9118175.5299999993</v>
      </c>
      <c r="DX64" s="1"/>
      <c r="EP64" s="1"/>
      <c r="GT64" t="s">
        <v>20</v>
      </c>
      <c r="GU64">
        <f>13456+2181</f>
        <v>15637</v>
      </c>
    </row>
    <row r="65" spans="3:203" x14ac:dyDescent="0.25">
      <c r="C65" s="27"/>
      <c r="F65" s="27"/>
      <c r="G65" s="66"/>
      <c r="P65" s="1"/>
      <c r="Q65" s="1"/>
      <c r="FK65" s="1"/>
      <c r="GT65" t="s">
        <v>44</v>
      </c>
      <c r="GU65">
        <v>9250</v>
      </c>
    </row>
    <row r="66" spans="3:203" x14ac:dyDescent="0.25">
      <c r="GT66" t="s">
        <v>326</v>
      </c>
      <c r="GU66">
        <v>30066</v>
      </c>
    </row>
    <row r="67" spans="3:203" x14ac:dyDescent="0.25">
      <c r="G67" s="1">
        <f>Summary!D95</f>
        <v>27343</v>
      </c>
      <c r="GU67">
        <f>SUM(GU63:GU66)</f>
        <v>70673</v>
      </c>
    </row>
    <row r="71" spans="3:203" x14ac:dyDescent="0.25">
      <c r="D71" s="52" t="s">
        <v>91</v>
      </c>
    </row>
    <row r="73" spans="3:203" x14ac:dyDescent="0.25">
      <c r="C73" s="12">
        <v>39002343834</v>
      </c>
      <c r="D73" s="4" t="s">
        <v>90</v>
      </c>
      <c r="E73" t="s">
        <v>46</v>
      </c>
      <c r="F73" s="12">
        <v>39002343834</v>
      </c>
      <c r="G73" s="51">
        <v>95993.5</v>
      </c>
    </row>
    <row r="74" spans="3:203" x14ac:dyDescent="0.25">
      <c r="C74" s="12">
        <v>39674808604</v>
      </c>
      <c r="E74" t="s">
        <v>92</v>
      </c>
      <c r="F74" s="12">
        <v>39674808604</v>
      </c>
      <c r="G74" s="51">
        <v>21102</v>
      </c>
    </row>
    <row r="75" spans="3:203" x14ac:dyDescent="0.25">
      <c r="E75" t="s">
        <v>94</v>
      </c>
    </row>
    <row r="77" spans="3:203" x14ac:dyDescent="0.25">
      <c r="C77" s="12">
        <v>39299393035</v>
      </c>
      <c r="E77" t="s">
        <v>92</v>
      </c>
      <c r="F77" s="12">
        <v>39299393035</v>
      </c>
      <c r="G77" s="51">
        <v>10635</v>
      </c>
    </row>
    <row r="78" spans="3:203" x14ac:dyDescent="0.25">
      <c r="E78" t="s">
        <v>93</v>
      </c>
    </row>
    <row r="79" spans="3:203" ht="15.75" thickBot="1" x14ac:dyDescent="0.3">
      <c r="G79" s="39">
        <f>SUM(G73:G77)</f>
        <v>127730.5</v>
      </c>
    </row>
    <row r="86" spans="58:60" x14ac:dyDescent="0.25">
      <c r="BG86" s="2" t="s">
        <v>214</v>
      </c>
      <c r="BH86" s="2" t="s">
        <v>208</v>
      </c>
    </row>
    <row r="88" spans="58:60" x14ac:dyDescent="0.25">
      <c r="BF88" t="s">
        <v>192</v>
      </c>
      <c r="BG88">
        <v>2000</v>
      </c>
      <c r="BH88">
        <v>2000</v>
      </c>
    </row>
    <row r="89" spans="58:60" x14ac:dyDescent="0.25">
      <c r="BF89" t="s">
        <v>193</v>
      </c>
      <c r="BG89">
        <v>1000</v>
      </c>
      <c r="BH89">
        <v>838</v>
      </c>
    </row>
    <row r="90" spans="58:60" x14ac:dyDescent="0.25">
      <c r="BF90" t="s">
        <v>194</v>
      </c>
      <c r="BG90">
        <v>500</v>
      </c>
      <c r="BH90">
        <v>600</v>
      </c>
    </row>
    <row r="92" spans="58:60" x14ac:dyDescent="0.25">
      <c r="BF92" t="s">
        <v>195</v>
      </c>
      <c r="BG92">
        <v>1000</v>
      </c>
      <c r="BH92">
        <v>650</v>
      </c>
    </row>
    <row r="93" spans="58:60" x14ac:dyDescent="0.25">
      <c r="BF93" t="s">
        <v>196</v>
      </c>
      <c r="BG93">
        <v>1000</v>
      </c>
      <c r="BH93">
        <v>750</v>
      </c>
    </row>
    <row r="94" spans="58:60" x14ac:dyDescent="0.25">
      <c r="BF94" t="s">
        <v>197</v>
      </c>
      <c r="BG94">
        <v>1000</v>
      </c>
      <c r="BH94">
        <v>800</v>
      </c>
    </row>
    <row r="95" spans="58:60" x14ac:dyDescent="0.25">
      <c r="BF95" t="s">
        <v>209</v>
      </c>
      <c r="BG95">
        <v>500</v>
      </c>
      <c r="BH95">
        <v>1500</v>
      </c>
    </row>
    <row r="97" spans="58:61" x14ac:dyDescent="0.25">
      <c r="BF97" t="s">
        <v>198</v>
      </c>
      <c r="BG97">
        <v>1500</v>
      </c>
      <c r="BH97">
        <v>1500</v>
      </c>
    </row>
    <row r="98" spans="58:61" x14ac:dyDescent="0.25">
      <c r="BF98" t="s">
        <v>199</v>
      </c>
      <c r="BG98">
        <v>600</v>
      </c>
      <c r="BH98">
        <v>0</v>
      </c>
    </row>
    <row r="99" spans="58:61" x14ac:dyDescent="0.25">
      <c r="BF99" t="s">
        <v>200</v>
      </c>
      <c r="BG99">
        <v>1500</v>
      </c>
      <c r="BH99">
        <v>0</v>
      </c>
    </row>
    <row r="101" spans="58:61" x14ac:dyDescent="0.25">
      <c r="BF101" t="s">
        <v>201</v>
      </c>
      <c r="BG101">
        <v>500</v>
      </c>
      <c r="BH101">
        <v>409</v>
      </c>
    </row>
    <row r="102" spans="58:61" x14ac:dyDescent="0.25">
      <c r="BF102" t="s">
        <v>202</v>
      </c>
      <c r="BG102">
        <v>500</v>
      </c>
      <c r="BH102">
        <v>500</v>
      </c>
    </row>
    <row r="103" spans="58:61" x14ac:dyDescent="0.25">
      <c r="BF103" t="s">
        <v>203</v>
      </c>
      <c r="BG103">
        <v>600</v>
      </c>
      <c r="BH103">
        <v>449</v>
      </c>
    </row>
    <row r="104" spans="58:61" x14ac:dyDescent="0.25">
      <c r="BF104" t="s">
        <v>204</v>
      </c>
      <c r="BG104">
        <v>600</v>
      </c>
      <c r="BH104">
        <v>449</v>
      </c>
    </row>
    <row r="106" spans="58:61" x14ac:dyDescent="0.25">
      <c r="BF106" t="s">
        <v>205</v>
      </c>
      <c r="BG106">
        <v>250</v>
      </c>
      <c r="BH106">
        <v>300</v>
      </c>
      <c r="BI106" t="s">
        <v>213</v>
      </c>
    </row>
    <row r="107" spans="58:61" x14ac:dyDescent="0.25">
      <c r="BF107" t="s">
        <v>212</v>
      </c>
      <c r="BG107">
        <v>250</v>
      </c>
      <c r="BH107">
        <v>250</v>
      </c>
    </row>
    <row r="109" spans="58:61" x14ac:dyDescent="0.25">
      <c r="BF109" t="s">
        <v>206</v>
      </c>
      <c r="BG109">
        <v>1000</v>
      </c>
      <c r="BH109">
        <f>900+600+500</f>
        <v>2000</v>
      </c>
    </row>
    <row r="110" spans="58:61" x14ac:dyDescent="0.25">
      <c r="BF110" t="s">
        <v>207</v>
      </c>
      <c r="BG110">
        <v>1000</v>
      </c>
      <c r="BH110">
        <v>1100</v>
      </c>
    </row>
    <row r="111" spans="58:61" x14ac:dyDescent="0.25">
      <c r="BF111" t="s">
        <v>210</v>
      </c>
      <c r="BG111">
        <v>459</v>
      </c>
      <c r="BH111">
        <v>459</v>
      </c>
    </row>
    <row r="112" spans="58:61" x14ac:dyDescent="0.25">
      <c r="BF112" t="s">
        <v>211</v>
      </c>
      <c r="BG112">
        <v>300</v>
      </c>
      <c r="BH112">
        <v>300</v>
      </c>
      <c r="BI112" t="s">
        <v>213</v>
      </c>
    </row>
    <row r="114" spans="59:60" x14ac:dyDescent="0.25">
      <c r="BG114" s="4">
        <f>SUM(BG88:BG112)</f>
        <v>16059</v>
      </c>
      <c r="BH114" s="17">
        <f>SUM(BH88:BH112)</f>
        <v>14854</v>
      </c>
    </row>
  </sheetData>
  <mergeCells count="63">
    <mergeCell ref="GX3:GY3"/>
    <mergeCell ref="HA3:HB3"/>
    <mergeCell ref="GO3:GP3"/>
    <mergeCell ref="GR3:GS3"/>
    <mergeCell ref="GL3:GM3"/>
    <mergeCell ref="GU3:GV3"/>
    <mergeCell ref="GI3:GJ3"/>
    <mergeCell ref="GF3:GG3"/>
    <mergeCell ref="GC3:GD3"/>
    <mergeCell ref="EP3:EQ3"/>
    <mergeCell ref="ES3:ET3"/>
    <mergeCell ref="FK3:FL3"/>
    <mergeCell ref="FZ3:GA3"/>
    <mergeCell ref="FW3:FX3"/>
    <mergeCell ref="FT3:FU3"/>
    <mergeCell ref="EY3:EZ3"/>
    <mergeCell ref="S3:T3"/>
    <mergeCell ref="U3:V3"/>
    <mergeCell ref="W3:X3"/>
    <mergeCell ref="Y3:Z3"/>
    <mergeCell ref="AB3:AC3"/>
    <mergeCell ref="AZ3:BA3"/>
    <mergeCell ref="AE3:AF3"/>
    <mergeCell ref="AV3:AW3"/>
    <mergeCell ref="AR3:AS3"/>
    <mergeCell ref="AO3:AP3"/>
    <mergeCell ref="AL3:AM3"/>
    <mergeCell ref="AH3:AI3"/>
    <mergeCell ref="BC3:BD3"/>
    <mergeCell ref="BR3:BS3"/>
    <mergeCell ref="BO3:BP3"/>
    <mergeCell ref="BX3:BY3"/>
    <mergeCell ref="BI3:BJ3"/>
    <mergeCell ref="BU3:BV3"/>
    <mergeCell ref="BL3:BM3"/>
    <mergeCell ref="BF3:BG3"/>
    <mergeCell ref="CD3:CE3"/>
    <mergeCell ref="DI3:DJ3"/>
    <mergeCell ref="CA3:CB3"/>
    <mergeCell ref="DF3:DG3"/>
    <mergeCell ref="CQ3:CR3"/>
    <mergeCell ref="DC3:DD3"/>
    <mergeCell ref="CH3:CI3"/>
    <mergeCell ref="CK3:CL3"/>
    <mergeCell ref="CN3:CO3"/>
    <mergeCell ref="CZ3:DA3"/>
    <mergeCell ref="CT3:CU3"/>
    <mergeCell ref="CW3:CX3"/>
    <mergeCell ref="DR3:DS3"/>
    <mergeCell ref="DO3:DP3"/>
    <mergeCell ref="DL3:DM3"/>
    <mergeCell ref="FN3:FO3"/>
    <mergeCell ref="FQ3:FR3"/>
    <mergeCell ref="DU3:DV3"/>
    <mergeCell ref="EG3:EH3"/>
    <mergeCell ref="EA3:EB3"/>
    <mergeCell ref="EJ3:EK3"/>
    <mergeCell ref="ED3:EE3"/>
    <mergeCell ref="DX3:DY3"/>
    <mergeCell ref="EV3:EW3"/>
    <mergeCell ref="FH3:FI3"/>
    <mergeCell ref="FE3:FF3"/>
    <mergeCell ref="FB3:F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3:L18"/>
  <sheetViews>
    <sheetView workbookViewId="0">
      <selection activeCell="C6" sqref="C6"/>
    </sheetView>
  </sheetViews>
  <sheetFormatPr defaultRowHeight="15" x14ac:dyDescent="0.25"/>
  <cols>
    <col min="5" max="5" width="16.85546875" bestFit="1" customWidth="1"/>
    <col min="7" max="7" width="11.5703125" bestFit="1" customWidth="1"/>
    <col min="9" max="9" width="10" bestFit="1" customWidth="1"/>
    <col min="12" max="12" width="10" bestFit="1" customWidth="1"/>
  </cols>
  <sheetData>
    <row r="3" spans="5:12" x14ac:dyDescent="0.25">
      <c r="E3" t="s">
        <v>111</v>
      </c>
      <c r="G3" s="59">
        <v>10000</v>
      </c>
      <c r="H3" t="s">
        <v>126</v>
      </c>
      <c r="I3" s="59"/>
      <c r="J3" t="s">
        <v>121</v>
      </c>
      <c r="L3" s="59">
        <v>5000</v>
      </c>
    </row>
    <row r="4" spans="5:12" x14ac:dyDescent="0.25">
      <c r="E4" t="s">
        <v>112</v>
      </c>
      <c r="G4" s="59">
        <v>10000</v>
      </c>
      <c r="H4" t="s">
        <v>126</v>
      </c>
      <c r="J4" t="s">
        <v>115</v>
      </c>
      <c r="L4" s="59">
        <v>5000</v>
      </c>
    </row>
    <row r="5" spans="5:12" x14ac:dyDescent="0.25">
      <c r="E5" t="s">
        <v>123</v>
      </c>
      <c r="G5" s="59">
        <v>5000</v>
      </c>
      <c r="H5" t="s">
        <v>126</v>
      </c>
      <c r="J5" t="s">
        <v>118</v>
      </c>
      <c r="L5" s="59">
        <v>65450</v>
      </c>
    </row>
    <row r="6" spans="5:12" x14ac:dyDescent="0.25">
      <c r="E6" t="s">
        <v>113</v>
      </c>
      <c r="G6" s="59">
        <v>6000</v>
      </c>
      <c r="H6" t="s">
        <v>126</v>
      </c>
      <c r="L6" s="61">
        <f>SUM(L3:L5)</f>
        <v>75450</v>
      </c>
    </row>
    <row r="7" spans="5:12" x14ac:dyDescent="0.25">
      <c r="E7" t="s">
        <v>114</v>
      </c>
      <c r="G7" s="59">
        <v>12000</v>
      </c>
      <c r="H7" t="s">
        <v>126</v>
      </c>
    </row>
    <row r="8" spans="5:12" x14ac:dyDescent="0.25">
      <c r="E8" t="s">
        <v>115</v>
      </c>
      <c r="G8" s="59">
        <v>14000</v>
      </c>
      <c r="H8" t="s">
        <v>126</v>
      </c>
    </row>
    <row r="9" spans="5:12" x14ac:dyDescent="0.25">
      <c r="E9" t="s">
        <v>116</v>
      </c>
      <c r="G9" s="59">
        <v>3000</v>
      </c>
      <c r="H9" t="s">
        <v>126</v>
      </c>
    </row>
    <row r="10" spans="5:12" x14ac:dyDescent="0.25">
      <c r="E10" t="s">
        <v>117</v>
      </c>
      <c r="G10" s="59">
        <v>2000</v>
      </c>
    </row>
    <row r="11" spans="5:12" x14ac:dyDescent="0.25">
      <c r="E11" t="s">
        <v>118</v>
      </c>
      <c r="G11" s="59">
        <f>45000+4000</f>
        <v>49000</v>
      </c>
    </row>
    <row r="12" spans="5:12" x14ac:dyDescent="0.25">
      <c r="E12" t="s">
        <v>119</v>
      </c>
      <c r="G12" s="59">
        <v>60000</v>
      </c>
    </row>
    <row r="13" spans="5:12" x14ac:dyDescent="0.25">
      <c r="E13" t="s">
        <v>120</v>
      </c>
      <c r="G13" s="59">
        <v>4000</v>
      </c>
    </row>
    <row r="14" spans="5:12" x14ac:dyDescent="0.25">
      <c r="E14" t="s">
        <v>121</v>
      </c>
      <c r="G14" s="59">
        <v>3000</v>
      </c>
    </row>
    <row r="15" spans="5:12" x14ac:dyDescent="0.25">
      <c r="G15" s="59"/>
    </row>
    <row r="16" spans="5:12" x14ac:dyDescent="0.25">
      <c r="G16" s="59"/>
    </row>
    <row r="18" spans="6:7" x14ac:dyDescent="0.25">
      <c r="F18" s="4" t="s">
        <v>122</v>
      </c>
      <c r="G18" s="60">
        <f>SUM(G3:G17)</f>
        <v>178000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O52"/>
  <sheetViews>
    <sheetView topLeftCell="E19" workbookViewId="0">
      <selection activeCell="E22" sqref="E22:H31"/>
    </sheetView>
  </sheetViews>
  <sheetFormatPr defaultRowHeight="15" x14ac:dyDescent="0.25"/>
  <cols>
    <col min="1" max="1" width="15" style="6" bestFit="1" customWidth="1"/>
    <col min="2" max="2" width="14.5703125" customWidth="1"/>
    <col min="3" max="3" width="15.140625" hidden="1" customWidth="1"/>
    <col min="4" max="4" width="27.42578125" hidden="1" customWidth="1"/>
    <col min="5" max="5" width="29.140625" customWidth="1"/>
    <col min="6" max="6" width="21.5703125" customWidth="1"/>
    <col min="7" max="7" width="23.140625" bestFit="1" customWidth="1"/>
    <col min="8" max="8" width="24.5703125" bestFit="1" customWidth="1"/>
    <col min="10" max="10" width="10.42578125" bestFit="1" customWidth="1"/>
    <col min="11" max="11" width="12" bestFit="1" customWidth="1"/>
    <col min="14" max="14" width="10.42578125" bestFit="1" customWidth="1"/>
  </cols>
  <sheetData>
    <row r="3" spans="4:10" x14ac:dyDescent="0.25">
      <c r="D3" s="110" t="s">
        <v>237</v>
      </c>
    </row>
    <row r="4" spans="4:10" ht="15.75" thickBot="1" x14ac:dyDescent="0.3"/>
    <row r="5" spans="4:10" ht="24.75" thickBot="1" x14ac:dyDescent="0.3">
      <c r="D5" s="104">
        <v>45146</v>
      </c>
      <c r="E5" s="105" t="s">
        <v>224</v>
      </c>
      <c r="F5" s="105" t="s">
        <v>225</v>
      </c>
      <c r="G5" s="106">
        <v>45146</v>
      </c>
      <c r="H5" s="107">
        <v>493.2</v>
      </c>
      <c r="I5" s="107"/>
      <c r="J5" s="108">
        <v>30246.5</v>
      </c>
    </row>
    <row r="6" spans="4:10" ht="24.75" thickBot="1" x14ac:dyDescent="0.3">
      <c r="D6" s="109">
        <v>45146</v>
      </c>
      <c r="E6" s="101" t="s">
        <v>226</v>
      </c>
      <c r="F6" s="101" t="s">
        <v>225</v>
      </c>
      <c r="G6" s="100">
        <v>45146</v>
      </c>
      <c r="H6" s="102">
        <v>894.6</v>
      </c>
      <c r="I6" s="102"/>
      <c r="J6" s="103">
        <v>30739.7</v>
      </c>
    </row>
    <row r="7" spans="4:10" ht="24.75" thickBot="1" x14ac:dyDescent="0.3">
      <c r="D7" s="109">
        <v>45146</v>
      </c>
      <c r="E7" s="101" t="s">
        <v>227</v>
      </c>
      <c r="F7" s="101" t="s">
        <v>225</v>
      </c>
      <c r="G7" s="100">
        <v>45146</v>
      </c>
      <c r="H7" s="102">
        <v>217</v>
      </c>
      <c r="I7" s="102"/>
      <c r="J7" s="103">
        <v>31634.3</v>
      </c>
    </row>
    <row r="8" spans="4:10" ht="24.75" thickBot="1" x14ac:dyDescent="0.3">
      <c r="D8" s="109">
        <v>45146</v>
      </c>
      <c r="E8" s="101" t="s">
        <v>228</v>
      </c>
      <c r="F8" s="101" t="s">
        <v>225</v>
      </c>
      <c r="G8" s="100">
        <v>45146</v>
      </c>
      <c r="H8" s="102">
        <v>309.89999999999998</v>
      </c>
      <c r="I8" s="102"/>
      <c r="J8" s="103">
        <v>31851.3</v>
      </c>
    </row>
    <row r="9" spans="4:10" ht="24.75" thickBot="1" x14ac:dyDescent="0.3">
      <c r="D9" s="109">
        <v>45146</v>
      </c>
      <c r="E9" s="101" t="s">
        <v>229</v>
      </c>
      <c r="F9" s="101" t="s">
        <v>225</v>
      </c>
      <c r="G9" s="100">
        <v>45146</v>
      </c>
      <c r="H9" s="103">
        <v>1122.0999999999999</v>
      </c>
      <c r="I9" s="102"/>
      <c r="J9" s="103">
        <v>32161.200000000001</v>
      </c>
    </row>
    <row r="10" spans="4:10" ht="24.75" thickBot="1" x14ac:dyDescent="0.3">
      <c r="D10" s="109">
        <v>45146</v>
      </c>
      <c r="E10" s="101" t="s">
        <v>230</v>
      </c>
      <c r="F10" s="101" t="s">
        <v>225</v>
      </c>
      <c r="G10" s="100">
        <v>45146</v>
      </c>
      <c r="H10" s="102">
        <v>140.4</v>
      </c>
      <c r="I10" s="102"/>
      <c r="J10" s="103">
        <v>33283.300000000003</v>
      </c>
    </row>
    <row r="11" spans="4:10" ht="24.75" thickBot="1" x14ac:dyDescent="0.3">
      <c r="D11" s="109">
        <v>45146</v>
      </c>
      <c r="E11" s="101" t="s">
        <v>231</v>
      </c>
      <c r="F11" s="101" t="s">
        <v>225</v>
      </c>
      <c r="G11" s="100">
        <v>45146</v>
      </c>
      <c r="H11" s="102">
        <v>140.4</v>
      </c>
      <c r="I11" s="102"/>
      <c r="J11" s="103">
        <v>33423.699999999997</v>
      </c>
    </row>
    <row r="12" spans="4:10" ht="24.75" thickBot="1" x14ac:dyDescent="0.3">
      <c r="D12" s="109">
        <v>45146</v>
      </c>
      <c r="E12" s="101" t="s">
        <v>232</v>
      </c>
      <c r="F12" s="101" t="s">
        <v>225</v>
      </c>
      <c r="G12" s="100">
        <v>45146</v>
      </c>
      <c r="H12" s="102">
        <v>140.4</v>
      </c>
      <c r="I12" s="102"/>
      <c r="J12" s="103">
        <v>33564.1</v>
      </c>
    </row>
    <row r="13" spans="4:10" ht="24.75" thickBot="1" x14ac:dyDescent="0.3">
      <c r="D13" s="109">
        <v>45146</v>
      </c>
      <c r="E13" s="101" t="s">
        <v>233</v>
      </c>
      <c r="F13" s="101" t="s">
        <v>225</v>
      </c>
      <c r="G13" s="100">
        <v>45146</v>
      </c>
      <c r="H13" s="102">
        <v>262</v>
      </c>
      <c r="I13" s="102"/>
      <c r="J13" s="103">
        <v>33704.5</v>
      </c>
    </row>
    <row r="14" spans="4:10" ht="24.75" thickBot="1" x14ac:dyDescent="0.3">
      <c r="D14" s="109">
        <v>45146</v>
      </c>
      <c r="E14" s="101" t="s">
        <v>234</v>
      </c>
      <c r="F14" s="101" t="s">
        <v>225</v>
      </c>
      <c r="G14" s="100">
        <v>45146</v>
      </c>
      <c r="H14" s="102">
        <v>702.1</v>
      </c>
      <c r="I14" s="102"/>
      <c r="J14" s="103">
        <v>33966.5</v>
      </c>
    </row>
    <row r="15" spans="4:10" ht="36.75" thickBot="1" x14ac:dyDescent="0.3">
      <c r="D15" s="109">
        <v>45146</v>
      </c>
      <c r="E15" s="101" t="s">
        <v>235</v>
      </c>
      <c r="F15" s="101" t="s">
        <v>236</v>
      </c>
      <c r="G15" s="100">
        <v>45146</v>
      </c>
      <c r="H15" s="103">
        <v>1122.0999999999999</v>
      </c>
      <c r="I15" s="102"/>
      <c r="J15" s="103">
        <v>34668.6</v>
      </c>
    </row>
    <row r="17" spans="4:8" x14ac:dyDescent="0.25">
      <c r="H17">
        <f>SUM(H5:H16)</f>
        <v>5544.2000000000007</v>
      </c>
    </row>
    <row r="21" spans="4:8" x14ac:dyDescent="0.25">
      <c r="D21" s="10"/>
      <c r="E21" s="27"/>
      <c r="H21" s="155"/>
    </row>
    <row r="22" spans="4:8" ht="23.25" x14ac:dyDescent="0.35">
      <c r="D22" s="4" t="s">
        <v>2</v>
      </c>
      <c r="E22" s="156"/>
      <c r="F22" s="157"/>
      <c r="G22" s="160"/>
      <c r="H22" s="156"/>
    </row>
    <row r="23" spans="4:8" ht="23.25" x14ac:dyDescent="0.35">
      <c r="D23" s="4" t="s">
        <v>3</v>
      </c>
      <c r="E23" s="158"/>
      <c r="F23" s="159"/>
      <c r="G23" s="161"/>
      <c r="H23" s="162"/>
    </row>
    <row r="24" spans="4:8" ht="23.25" x14ac:dyDescent="0.35">
      <c r="D24" s="4" t="s">
        <v>3</v>
      </c>
      <c r="E24" s="158"/>
      <c r="F24" s="159"/>
      <c r="G24" s="161"/>
      <c r="H24" s="162"/>
    </row>
    <row r="25" spans="4:8" ht="23.25" x14ac:dyDescent="0.35">
      <c r="D25" s="4" t="s">
        <v>3</v>
      </c>
      <c r="E25" s="158"/>
      <c r="F25" s="159"/>
      <c r="G25" s="161"/>
      <c r="H25" s="162"/>
    </row>
    <row r="26" spans="4:8" ht="23.25" x14ac:dyDescent="0.35">
      <c r="D26" s="4" t="s">
        <v>3</v>
      </c>
      <c r="E26" s="158"/>
      <c r="F26" s="159"/>
      <c r="G26" s="161"/>
      <c r="H26" s="162"/>
    </row>
    <row r="27" spans="4:8" ht="23.25" x14ac:dyDescent="0.35">
      <c r="D27" s="4" t="s">
        <v>3</v>
      </c>
      <c r="E27" s="158"/>
      <c r="F27" s="159"/>
      <c r="G27" s="161"/>
      <c r="H27" s="162"/>
    </row>
    <row r="28" spans="4:8" ht="23.25" x14ac:dyDescent="0.35">
      <c r="D28" s="4" t="s">
        <v>3</v>
      </c>
      <c r="E28" s="158"/>
      <c r="F28" s="159"/>
      <c r="G28" s="161"/>
      <c r="H28" s="162"/>
    </row>
    <row r="29" spans="4:8" ht="23.25" x14ac:dyDescent="0.35">
      <c r="D29" s="4" t="s">
        <v>3</v>
      </c>
      <c r="E29" s="158"/>
      <c r="F29" s="159"/>
      <c r="G29" s="161"/>
      <c r="H29" s="162"/>
    </row>
    <row r="30" spans="4:8" ht="23.25" x14ac:dyDescent="0.35">
      <c r="D30" s="4"/>
      <c r="E30" s="158"/>
      <c r="F30" s="159"/>
      <c r="G30" s="161"/>
      <c r="H30" s="162"/>
    </row>
    <row r="31" spans="4:8" ht="23.25" x14ac:dyDescent="0.35">
      <c r="F31" s="159"/>
    </row>
    <row r="32" spans="4:8" x14ac:dyDescent="0.25">
      <c r="F32" s="1"/>
    </row>
    <row r="33" spans="1:15" x14ac:dyDescent="0.25">
      <c r="G33" t="s">
        <v>67</v>
      </c>
      <c r="H33" s="10">
        <v>39002184577</v>
      </c>
      <c r="I33">
        <v>15</v>
      </c>
      <c r="J33" s="27">
        <v>45642</v>
      </c>
      <c r="N33" s="27">
        <v>45446</v>
      </c>
      <c r="O33">
        <v>1517</v>
      </c>
    </row>
    <row r="34" spans="1:15" x14ac:dyDescent="0.25">
      <c r="G34" t="s">
        <v>67</v>
      </c>
      <c r="H34" s="10">
        <v>42889057442</v>
      </c>
      <c r="I34">
        <v>2</v>
      </c>
      <c r="J34" s="27">
        <v>45398</v>
      </c>
      <c r="N34" s="27">
        <v>45475</v>
      </c>
      <c r="O34">
        <v>1291</v>
      </c>
    </row>
    <row r="35" spans="1:15" x14ac:dyDescent="0.25">
      <c r="A35" s="28" t="s">
        <v>239</v>
      </c>
      <c r="B35" s="14" t="s">
        <v>14</v>
      </c>
      <c r="C35" s="117" t="s">
        <v>21</v>
      </c>
      <c r="G35" t="s">
        <v>67</v>
      </c>
      <c r="H35" s="10">
        <v>43595510264</v>
      </c>
      <c r="I35">
        <v>2</v>
      </c>
      <c r="J35" s="27">
        <v>45631</v>
      </c>
      <c r="N35" s="27">
        <v>45506</v>
      </c>
      <c r="O35">
        <v>1291</v>
      </c>
    </row>
    <row r="36" spans="1:15" x14ac:dyDescent="0.25">
      <c r="G36" t="s">
        <v>262</v>
      </c>
      <c r="H36" s="10" t="s">
        <v>261</v>
      </c>
      <c r="I36">
        <v>9</v>
      </c>
      <c r="J36" s="27">
        <v>45654</v>
      </c>
      <c r="N36" s="27">
        <v>45537</v>
      </c>
      <c r="O36">
        <v>1291</v>
      </c>
    </row>
    <row r="37" spans="1:15" x14ac:dyDescent="0.25">
      <c r="N37" s="27">
        <v>45568</v>
      </c>
      <c r="O37">
        <v>1291</v>
      </c>
    </row>
    <row r="38" spans="1:15" x14ac:dyDescent="0.25">
      <c r="A38" s="45" t="s">
        <v>241</v>
      </c>
      <c r="B38" s="114" t="s">
        <v>238</v>
      </c>
      <c r="C38" s="45" t="s">
        <v>240</v>
      </c>
      <c r="N38" s="27">
        <v>45600</v>
      </c>
      <c r="O38">
        <v>1291</v>
      </c>
    </row>
    <row r="39" spans="1:15" x14ac:dyDescent="0.25">
      <c r="A39" s="116">
        <v>45146</v>
      </c>
      <c r="B39" s="115">
        <v>702.1</v>
      </c>
      <c r="C39" s="112">
        <v>45150</v>
      </c>
      <c r="N39" s="27">
        <v>45628</v>
      </c>
      <c r="O39">
        <v>988</v>
      </c>
    </row>
    <row r="40" spans="1:15" x14ac:dyDescent="0.25">
      <c r="A40" s="116">
        <v>45146</v>
      </c>
      <c r="B40" s="115">
        <v>262</v>
      </c>
      <c r="C40" s="112">
        <v>45160</v>
      </c>
      <c r="H40" t="s">
        <v>267</v>
      </c>
      <c r="I40">
        <f>1500+325</f>
        <v>1825</v>
      </c>
      <c r="N40" s="27">
        <v>45659</v>
      </c>
      <c r="O40">
        <v>988</v>
      </c>
    </row>
    <row r="41" spans="1:15" x14ac:dyDescent="0.25">
      <c r="A41" s="116">
        <v>45146</v>
      </c>
      <c r="B41" s="115">
        <v>140</v>
      </c>
      <c r="C41" s="112">
        <v>45150</v>
      </c>
      <c r="H41" t="s">
        <v>268</v>
      </c>
      <c r="I41">
        <v>5000</v>
      </c>
      <c r="N41" s="27">
        <v>45691</v>
      </c>
      <c r="O41">
        <v>988</v>
      </c>
    </row>
    <row r="42" spans="1:15" x14ac:dyDescent="0.25">
      <c r="A42" s="116">
        <v>45146</v>
      </c>
      <c r="B42" s="115">
        <v>140</v>
      </c>
      <c r="C42" s="112">
        <v>45150</v>
      </c>
      <c r="H42" t="s">
        <v>269</v>
      </c>
      <c r="I42">
        <f>2500+1000</f>
        <v>3500</v>
      </c>
    </row>
    <row r="43" spans="1:15" x14ac:dyDescent="0.25">
      <c r="A43" s="116">
        <v>45146</v>
      </c>
      <c r="B43" s="115">
        <v>140</v>
      </c>
      <c r="C43" s="112">
        <v>45150</v>
      </c>
      <c r="H43" t="s">
        <v>270</v>
      </c>
      <c r="I43">
        <v>2000</v>
      </c>
    </row>
    <row r="44" spans="1:15" x14ac:dyDescent="0.25">
      <c r="A44" s="116">
        <v>45146</v>
      </c>
      <c r="B44" s="115">
        <v>1122.0999999999999</v>
      </c>
      <c r="C44" s="113">
        <v>45146</v>
      </c>
      <c r="H44" t="s">
        <v>271</v>
      </c>
      <c r="I44">
        <v>1200</v>
      </c>
    </row>
    <row r="45" spans="1:15" x14ac:dyDescent="0.25">
      <c r="A45" s="116">
        <v>45146</v>
      </c>
      <c r="B45" s="115">
        <v>1122.0999999999999</v>
      </c>
      <c r="C45" s="113">
        <v>45146</v>
      </c>
      <c r="E45" t="s">
        <v>283</v>
      </c>
      <c r="F45">
        <v>30000</v>
      </c>
      <c r="H45" t="s">
        <v>272</v>
      </c>
      <c r="I45">
        <v>2200</v>
      </c>
    </row>
    <row r="46" spans="1:15" x14ac:dyDescent="0.25">
      <c r="A46" s="116">
        <v>45146</v>
      </c>
      <c r="B46" s="115">
        <v>309.89999999999998</v>
      </c>
      <c r="C46" s="112">
        <v>45196</v>
      </c>
      <c r="E46" t="s">
        <v>284</v>
      </c>
      <c r="F46">
        <v>30000</v>
      </c>
      <c r="I46">
        <f>SUM(I40:I45)</f>
        <v>15725</v>
      </c>
    </row>
    <row r="47" spans="1:15" x14ac:dyDescent="0.25">
      <c r="A47" s="116">
        <v>45146</v>
      </c>
      <c r="B47" s="115">
        <v>217</v>
      </c>
      <c r="C47" s="112">
        <v>45169</v>
      </c>
      <c r="E47" t="s">
        <v>285</v>
      </c>
      <c r="F47">
        <v>15000</v>
      </c>
    </row>
    <row r="48" spans="1:15" x14ac:dyDescent="0.25">
      <c r="A48" s="116">
        <v>45146</v>
      </c>
      <c r="B48" s="115">
        <v>894.6</v>
      </c>
      <c r="C48" s="112">
        <v>45150</v>
      </c>
      <c r="E48" t="s">
        <v>286</v>
      </c>
      <c r="F48">
        <v>30000</v>
      </c>
      <c r="O48">
        <f>SUM(O33:O47)</f>
        <v>10936</v>
      </c>
    </row>
    <row r="49" spans="1:6" x14ac:dyDescent="0.25">
      <c r="A49" s="116">
        <v>45146</v>
      </c>
      <c r="B49" s="115">
        <v>493.2</v>
      </c>
      <c r="C49" s="112">
        <v>45230</v>
      </c>
    </row>
    <row r="50" spans="1:6" x14ac:dyDescent="0.25">
      <c r="E50" t="s">
        <v>287</v>
      </c>
      <c r="F50">
        <v>45000</v>
      </c>
    </row>
    <row r="51" spans="1:6" x14ac:dyDescent="0.25">
      <c r="A51" s="6" t="s">
        <v>122</v>
      </c>
      <c r="B51" s="1">
        <f>SUM(B39:B50)</f>
        <v>5543</v>
      </c>
    </row>
    <row r="52" spans="1:6" x14ac:dyDescent="0.25">
      <c r="B52" s="1"/>
      <c r="F52">
        <f>SUM(F45:F50)</f>
        <v>150000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359-CCF6-42A4-80A2-42EA0C80CB96}">
  <dimension ref="A2:J21"/>
  <sheetViews>
    <sheetView topLeftCell="A16" zoomScaleNormal="100" workbookViewId="0">
      <selection activeCell="B21" sqref="B21"/>
    </sheetView>
  </sheetViews>
  <sheetFormatPr defaultRowHeight="15" x14ac:dyDescent="0.25"/>
  <cols>
    <col min="1" max="1" width="18.42578125" customWidth="1"/>
    <col min="2" max="2" width="28.7109375" bestFit="1" customWidth="1"/>
    <col min="3" max="3" width="15.7109375" customWidth="1"/>
    <col min="4" max="4" width="12.5703125" bestFit="1" customWidth="1"/>
    <col min="5" max="5" width="12.5703125" customWidth="1"/>
    <col min="6" max="6" width="14.140625" bestFit="1" customWidth="1"/>
    <col min="7" max="7" width="11.42578125" bestFit="1" customWidth="1"/>
    <col min="9" max="9" width="11" bestFit="1" customWidth="1"/>
    <col min="10" max="10" width="10.28515625" bestFit="1" customWidth="1"/>
  </cols>
  <sheetData>
    <row r="2" spans="1:10" x14ac:dyDescent="0.25">
      <c r="A2" s="4" t="s">
        <v>299</v>
      </c>
    </row>
    <row r="4" spans="1:10" x14ac:dyDescent="0.25">
      <c r="A4" s="9" t="s">
        <v>9</v>
      </c>
      <c r="B4" s="4" t="s">
        <v>0</v>
      </c>
      <c r="C4" s="4" t="s">
        <v>292</v>
      </c>
      <c r="D4" s="5" t="s">
        <v>4</v>
      </c>
      <c r="E4" s="28" t="s">
        <v>296</v>
      </c>
      <c r="F4" s="28" t="s">
        <v>65</v>
      </c>
      <c r="G4" s="28" t="s">
        <v>66</v>
      </c>
      <c r="H4" s="28" t="s">
        <v>134</v>
      </c>
      <c r="I4" s="28" t="s">
        <v>294</v>
      </c>
    </row>
    <row r="5" spans="1:10" x14ac:dyDescent="0.25">
      <c r="A5" s="94" t="s">
        <v>298</v>
      </c>
      <c r="B5" s="23" t="s">
        <v>45</v>
      </c>
      <c r="C5" s="4" t="s">
        <v>293</v>
      </c>
      <c r="D5" s="1">
        <v>65000</v>
      </c>
      <c r="E5" s="31" t="s">
        <v>297</v>
      </c>
      <c r="F5" s="27">
        <v>46080</v>
      </c>
      <c r="G5" s="27">
        <v>46810</v>
      </c>
      <c r="H5" s="150">
        <v>7.1999999999999995E-2</v>
      </c>
      <c r="I5" s="1">
        <v>4671</v>
      </c>
      <c r="J5" t="s">
        <v>295</v>
      </c>
    </row>
    <row r="6" spans="1:10" x14ac:dyDescent="0.25">
      <c r="A6" s="94" t="s">
        <v>300</v>
      </c>
      <c r="B6" s="23" t="s">
        <v>45</v>
      </c>
      <c r="C6" t="s">
        <v>44</v>
      </c>
      <c r="D6" s="1">
        <v>110000</v>
      </c>
      <c r="E6" s="6" t="s">
        <v>301</v>
      </c>
      <c r="F6" s="27">
        <v>46049</v>
      </c>
      <c r="G6" s="27">
        <v>47875</v>
      </c>
      <c r="H6" s="150">
        <v>7.3999999999999996E-2</v>
      </c>
      <c r="I6" s="1">
        <v>678</v>
      </c>
      <c r="J6" t="s">
        <v>302</v>
      </c>
    </row>
    <row r="7" spans="1:10" x14ac:dyDescent="0.25">
      <c r="A7" s="94" t="s">
        <v>303</v>
      </c>
      <c r="B7" s="23" t="s">
        <v>45</v>
      </c>
      <c r="C7" t="s">
        <v>44</v>
      </c>
      <c r="D7" s="1">
        <v>200000</v>
      </c>
      <c r="E7" s="6" t="s">
        <v>301</v>
      </c>
      <c r="F7" s="27">
        <v>46031</v>
      </c>
      <c r="G7" s="27">
        <v>47857</v>
      </c>
      <c r="H7" s="150">
        <v>7.3999999999999996E-2</v>
      </c>
      <c r="I7" s="1">
        <v>1233</v>
      </c>
      <c r="J7" t="s">
        <v>302</v>
      </c>
    </row>
    <row r="8" spans="1:10" x14ac:dyDescent="0.25">
      <c r="A8" s="94" t="s">
        <v>306</v>
      </c>
      <c r="B8" s="23" t="s">
        <v>45</v>
      </c>
      <c r="C8" t="s">
        <v>44</v>
      </c>
      <c r="D8" s="1">
        <v>200000</v>
      </c>
      <c r="E8" s="6" t="s">
        <v>301</v>
      </c>
      <c r="F8" s="27">
        <v>46205</v>
      </c>
      <c r="G8" s="27">
        <v>48031</v>
      </c>
      <c r="H8" s="150">
        <v>7.3999999999999996E-2</v>
      </c>
      <c r="I8" s="1">
        <v>1233</v>
      </c>
      <c r="J8" t="s">
        <v>302</v>
      </c>
    </row>
    <row r="9" spans="1:10" x14ac:dyDescent="0.25">
      <c r="A9" s="94"/>
      <c r="B9" s="23"/>
      <c r="D9" s="1"/>
      <c r="E9" s="6"/>
      <c r="F9" s="27"/>
      <c r="G9" s="27"/>
      <c r="H9" s="150"/>
      <c r="I9" s="1"/>
    </row>
    <row r="10" spans="1:10" x14ac:dyDescent="0.25">
      <c r="A10" s="94"/>
      <c r="B10" s="23"/>
      <c r="D10" s="1"/>
      <c r="E10" s="6"/>
      <c r="F10" s="27"/>
      <c r="G10" s="27"/>
      <c r="H10" s="150"/>
      <c r="I10" s="1"/>
    </row>
    <row r="11" spans="1:10" x14ac:dyDescent="0.25">
      <c r="A11" s="94"/>
      <c r="C11" t="s">
        <v>307</v>
      </c>
      <c r="D11" s="51">
        <f>SUM(D5:D10)</f>
        <v>575000</v>
      </c>
      <c r="E11" s="6"/>
      <c r="F11" s="27"/>
      <c r="G11" s="27"/>
      <c r="H11" s="150"/>
      <c r="I11" s="1"/>
    </row>
    <row r="12" spans="1:10" x14ac:dyDescent="0.25">
      <c r="A12" s="94"/>
      <c r="D12" s="1"/>
      <c r="E12" s="6"/>
      <c r="F12" s="27"/>
      <c r="G12" s="27"/>
      <c r="H12" s="150"/>
      <c r="I12" s="1"/>
    </row>
    <row r="13" spans="1:10" x14ac:dyDescent="0.25">
      <c r="A13" s="94" t="s">
        <v>305</v>
      </c>
      <c r="B13" s="23" t="s">
        <v>45</v>
      </c>
      <c r="C13" t="s">
        <v>304</v>
      </c>
      <c r="D13" s="1"/>
      <c r="E13" s="6"/>
      <c r="F13" s="27">
        <v>46009</v>
      </c>
      <c r="G13" s="27"/>
      <c r="H13" s="150">
        <v>0.04</v>
      </c>
      <c r="I13" s="1"/>
    </row>
    <row r="14" spans="1:10" x14ac:dyDescent="0.25">
      <c r="A14" s="94"/>
      <c r="D14" s="1"/>
      <c r="E14" s="6"/>
      <c r="F14" s="27"/>
      <c r="G14" s="27"/>
      <c r="H14" s="150"/>
      <c r="I14" s="1"/>
    </row>
    <row r="15" spans="1:10" x14ac:dyDescent="0.25">
      <c r="A15" s="94"/>
      <c r="D15" s="1"/>
      <c r="E15" s="6"/>
      <c r="F15" s="27"/>
      <c r="G15" s="27"/>
      <c r="H15" s="150"/>
      <c r="I15" s="1"/>
    </row>
    <row r="16" spans="1:10" ht="15.75" thickBot="1" x14ac:dyDescent="0.3">
      <c r="A16" s="94"/>
      <c r="D16" s="1"/>
      <c r="E16" s="6"/>
      <c r="F16" s="27"/>
      <c r="G16" s="27"/>
      <c r="H16" s="150"/>
      <c r="I16" s="1"/>
    </row>
    <row r="17" spans="1:9" ht="60.75" thickBot="1" x14ac:dyDescent="0.3">
      <c r="A17" s="152" t="s">
        <v>310</v>
      </c>
      <c r="B17" s="152" t="s">
        <v>311</v>
      </c>
      <c r="C17" s="152" t="s">
        <v>312</v>
      </c>
      <c r="D17" s="152" t="s">
        <v>313</v>
      </c>
      <c r="E17" s="6"/>
      <c r="F17" s="27"/>
      <c r="G17" s="27"/>
      <c r="H17" s="150"/>
      <c r="I17" s="1"/>
    </row>
    <row r="18" spans="1:9" ht="57.75" thickBot="1" x14ac:dyDescent="0.3">
      <c r="A18" s="152" t="s">
        <v>314</v>
      </c>
      <c r="B18" s="153" t="s">
        <v>315</v>
      </c>
      <c r="C18" s="154">
        <v>6.25E-2</v>
      </c>
      <c r="D18" s="153" t="s">
        <v>316</v>
      </c>
      <c r="E18" s="6"/>
      <c r="F18" s="27"/>
      <c r="G18" s="27"/>
      <c r="H18" s="150"/>
      <c r="I18" s="1"/>
    </row>
    <row r="19" spans="1:9" ht="57.75" thickBot="1" x14ac:dyDescent="0.3">
      <c r="A19" s="152" t="s">
        <v>317</v>
      </c>
      <c r="B19" s="153" t="s">
        <v>318</v>
      </c>
      <c r="C19" s="154">
        <v>2.0833333333333332E-2</v>
      </c>
      <c r="D19" s="153" t="s">
        <v>319</v>
      </c>
      <c r="E19" s="6"/>
      <c r="F19" s="27"/>
      <c r="G19" s="27"/>
      <c r="H19" s="150"/>
      <c r="I19" s="1"/>
    </row>
    <row r="20" spans="1:9" ht="43.5" thickBot="1" x14ac:dyDescent="0.3">
      <c r="A20" s="152" t="s">
        <v>320</v>
      </c>
      <c r="B20" s="153" t="s">
        <v>321</v>
      </c>
      <c r="C20" s="154">
        <v>0.10416666666666667</v>
      </c>
      <c r="D20" s="153" t="s">
        <v>322</v>
      </c>
    </row>
    <row r="21" spans="1:9" ht="57.75" thickBot="1" x14ac:dyDescent="0.3">
      <c r="A21" s="152" t="s">
        <v>323</v>
      </c>
      <c r="B21" s="153" t="s">
        <v>321</v>
      </c>
      <c r="C21" s="154">
        <v>0.27083333333333331</v>
      </c>
      <c r="D21" s="153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Periodic income post wedding</vt:lpstr>
      <vt:lpstr>Wedding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Chakraborty, Sunilkumar</dc:creator>
  <cp:lastModifiedBy>sunil</cp:lastModifiedBy>
  <dcterms:created xsi:type="dcterms:W3CDTF">2020-05-11T09:50:07Z</dcterms:created>
  <dcterms:modified xsi:type="dcterms:W3CDTF">2026-09-05T11:49:12Z</dcterms:modified>
</cp:coreProperties>
</file>